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endersoneng.sharepoint.com/sites/OperationsTechnology-Strata/Shared Documents/Strata/Strata/00 Strategy/Playground/Engineering Tool Chest/Plumbing Fixture Calculator/"/>
    </mc:Choice>
  </mc:AlternateContent>
  <xr:revisionPtr revIDLastSave="0" documentId="8_{A208581F-F433-4B7D-8508-281272085D81}" xr6:coauthVersionLast="47" xr6:coauthVersionMax="47" xr10:uidLastSave="{00000000-0000-0000-0000-000000000000}"/>
  <bookViews>
    <workbookView xWindow="3510" yWindow="675" windowWidth="38700" windowHeight="18180" tabRatio="806" activeTab="2" xr2:uid="{00000000-000D-0000-FFFF-FFFF00000000}"/>
  </bookViews>
  <sheets>
    <sheet name="Version" sheetId="19" r:id="rId1"/>
    <sheet name="How-To Guide" sheetId="20" r:id="rId2"/>
    <sheet name="IPC " sheetId="17" r:id="rId3"/>
    <sheet name="HUNTERDATA (FT)" sheetId="29" r:id="rId4"/>
    <sheet name="HUNTERDATA (FV)" sheetId="30" r:id="rId5"/>
  </sheets>
  <definedNames>
    <definedName name="_xlnm.Print_Area" localSheetId="1">'How-To Guide'!$A$1:$M$46</definedName>
    <definedName name="_xlnm.Print_Area" localSheetId="2">'IPC '!$B$8:$L$66</definedName>
    <definedName name="Print_Area_MI" localSheetId="0">#REF!</definedName>
    <definedName name="Print_Area_MI">'IPC '!$B$2:$L$68</definedName>
    <definedName name="range" localSheetId="0">#REF!</definedName>
    <definedName name="range">#REF!</definedName>
    <definedName name="RANGE2" localSheetId="0">#REF!</definedName>
    <definedName name="RANGE2">#REF!</definedName>
    <definedName name="Spanner_Auto_File">" "</definedName>
    <definedName name="Spanner_Auto_Selec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3" i="29" l="1"/>
  <c r="E373" i="29" s="1"/>
  <c r="D374" i="29"/>
  <c r="D375" i="29"/>
  <c r="D376" i="29"/>
  <c r="D377" i="29"/>
  <c r="D378" i="29"/>
  <c r="D379" i="29"/>
  <c r="D380" i="29"/>
  <c r="D381" i="29"/>
  <c r="D382" i="29"/>
  <c r="D383" i="29"/>
  <c r="D384" i="29"/>
  <c r="D385" i="29"/>
  <c r="D386" i="29"/>
  <c r="D387" i="29"/>
  <c r="D388" i="29"/>
  <c r="D389" i="29"/>
  <c r="D390" i="29"/>
  <c r="D391" i="29"/>
  <c r="D392" i="29"/>
  <c r="D393" i="29"/>
  <c r="D394" i="29"/>
  <c r="D395" i="29"/>
  <c r="D396" i="29"/>
  <c r="D397" i="29"/>
  <c r="D398" i="29"/>
  <c r="D399" i="29"/>
  <c r="E399" i="29" s="1"/>
  <c r="D400" i="29"/>
  <c r="D401" i="29"/>
  <c r="D402" i="29"/>
  <c r="F402" i="29" s="1"/>
  <c r="D403" i="29"/>
  <c r="E403" i="29" s="1"/>
  <c r="D404" i="29"/>
  <c r="D405" i="29"/>
  <c r="E405" i="29" s="1"/>
  <c r="D406" i="29"/>
  <c r="D407" i="29"/>
  <c r="D408" i="29"/>
  <c r="D409" i="29"/>
  <c r="E409" i="29" s="1"/>
  <c r="D410" i="29"/>
  <c r="F410" i="29" s="1"/>
  <c r="D411" i="29"/>
  <c r="E411" i="29" s="1"/>
  <c r="D412" i="29"/>
  <c r="D413" i="29"/>
  <c r="E413" i="29" s="1"/>
  <c r="D414" i="29"/>
  <c r="D415" i="29"/>
  <c r="E415" i="29" s="1"/>
  <c r="D416" i="29"/>
  <c r="D417" i="29"/>
  <c r="D418" i="29"/>
  <c r="F418" i="29" s="1"/>
  <c r="D419" i="29"/>
  <c r="E419" i="29" s="1"/>
  <c r="D420" i="29"/>
  <c r="D421" i="29"/>
  <c r="D422" i="29"/>
  <c r="E422" i="29" s="1"/>
  <c r="D423" i="29"/>
  <c r="E423" i="29" s="1"/>
  <c r="D424" i="29"/>
  <c r="D425" i="29"/>
  <c r="D426" i="29"/>
  <c r="E426" i="29" s="1"/>
  <c r="D427" i="29"/>
  <c r="E427" i="29" s="1"/>
  <c r="D428" i="29"/>
  <c r="D429" i="29"/>
  <c r="E429" i="29" s="1"/>
  <c r="D430" i="29"/>
  <c r="E430" i="29" s="1"/>
  <c r="D431" i="29"/>
  <c r="E431" i="29" s="1"/>
  <c r="D432" i="29"/>
  <c r="D433" i="29"/>
  <c r="E433" i="29" s="1"/>
  <c r="D434" i="29"/>
  <c r="E434" i="29" s="1"/>
  <c r="D435" i="29"/>
  <c r="E435" i="29" s="1"/>
  <c r="D436" i="29"/>
  <c r="D437" i="29"/>
  <c r="E437" i="29" s="1"/>
  <c r="D438" i="29"/>
  <c r="E438" i="29" s="1"/>
  <c r="D439" i="29"/>
  <c r="E439" i="29" s="1"/>
  <c r="D440" i="29"/>
  <c r="D441" i="29"/>
  <c r="E441" i="29" s="1"/>
  <c r="D253" i="30"/>
  <c r="E253" i="30" s="1"/>
  <c r="D254" i="30"/>
  <c r="D255" i="30"/>
  <c r="D256" i="30"/>
  <c r="D257" i="30"/>
  <c r="D258" i="30"/>
  <c r="D259" i="30"/>
  <c r="D260" i="30"/>
  <c r="D261" i="30"/>
  <c r="D262" i="30"/>
  <c r="D263" i="30"/>
  <c r="D264" i="30"/>
  <c r="D265" i="30"/>
  <c r="D266" i="30"/>
  <c r="D267" i="30"/>
  <c r="D268" i="30"/>
  <c r="D269" i="30"/>
  <c r="D270" i="30"/>
  <c r="D271" i="30"/>
  <c r="D272" i="30"/>
  <c r="D273" i="30"/>
  <c r="D274" i="30"/>
  <c r="D275" i="30"/>
  <c r="D276" i="30"/>
  <c r="D277" i="30"/>
  <c r="D278" i="30"/>
  <c r="E278" i="30" s="1"/>
  <c r="D279" i="30"/>
  <c r="D280" i="30"/>
  <c r="D281" i="30"/>
  <c r="D282" i="30"/>
  <c r="D283" i="30"/>
  <c r="D284" i="30"/>
  <c r="D285" i="30"/>
  <c r="D286" i="30"/>
  <c r="D287" i="30"/>
  <c r="D288" i="30"/>
  <c r="D289" i="30"/>
  <c r="D290" i="30"/>
  <c r="D291" i="30"/>
  <c r="D292" i="30"/>
  <c r="D293" i="30"/>
  <c r="D294" i="30"/>
  <c r="D295" i="30"/>
  <c r="D296" i="30"/>
  <c r="D297" i="30"/>
  <c r="D298" i="30"/>
  <c r="D299" i="30"/>
  <c r="D300" i="30"/>
  <c r="D301" i="30"/>
  <c r="D302" i="30"/>
  <c r="D303" i="30"/>
  <c r="D304" i="30"/>
  <c r="D305" i="30"/>
  <c r="D306" i="30"/>
  <c r="D307" i="30"/>
  <c r="D308" i="30"/>
  <c r="D309" i="30"/>
  <c r="D310" i="30"/>
  <c r="D311" i="30"/>
  <c r="D312" i="30"/>
  <c r="D313" i="30"/>
  <c r="D314" i="30"/>
  <c r="D315" i="30"/>
  <c r="D316" i="30"/>
  <c r="D317" i="30"/>
  <c r="D318" i="30"/>
  <c r="D319" i="30"/>
  <c r="D320" i="30"/>
  <c r="D321" i="30"/>
  <c r="D322" i="30"/>
  <c r="D323" i="30"/>
  <c r="E323" i="30" s="1"/>
  <c r="D324" i="30"/>
  <c r="D325" i="30"/>
  <c r="D326" i="30"/>
  <c r="D327" i="30"/>
  <c r="D328" i="30"/>
  <c r="D329" i="30"/>
  <c r="D330" i="30"/>
  <c r="D331" i="30"/>
  <c r="D332" i="30"/>
  <c r="D333" i="30"/>
  <c r="D334" i="30"/>
  <c r="D335" i="30"/>
  <c r="D336" i="30"/>
  <c r="D337" i="30"/>
  <c r="D338" i="30"/>
  <c r="D339" i="30"/>
  <c r="D340" i="30"/>
  <c r="D341" i="30"/>
  <c r="D342" i="30"/>
  <c r="D343" i="30"/>
  <c r="D344" i="30"/>
  <c r="D345" i="30"/>
  <c r="D346" i="30"/>
  <c r="D347" i="30"/>
  <c r="D348" i="30"/>
  <c r="D349" i="30"/>
  <c r="D350" i="30"/>
  <c r="D351" i="30"/>
  <c r="D352" i="30"/>
  <c r="D353" i="30"/>
  <c r="D354" i="30"/>
  <c r="D355" i="30"/>
  <c r="D356" i="30"/>
  <c r="D357" i="30"/>
  <c r="D358" i="30"/>
  <c r="D359" i="30"/>
  <c r="D360" i="30"/>
  <c r="D361" i="30"/>
  <c r="D362" i="30"/>
  <c r="D363" i="30"/>
  <c r="D364" i="30"/>
  <c r="D365" i="30"/>
  <c r="D366" i="30"/>
  <c r="D367" i="30"/>
  <c r="D368" i="30"/>
  <c r="D369" i="30"/>
  <c r="D370" i="30"/>
  <c r="D371" i="30"/>
  <c r="D372" i="30"/>
  <c r="D373" i="30"/>
  <c r="D374" i="30"/>
  <c r="D375" i="30"/>
  <c r="D376" i="30"/>
  <c r="D377" i="30"/>
  <c r="D378" i="30"/>
  <c r="D379" i="30"/>
  <c r="D380" i="30"/>
  <c r="D381" i="30"/>
  <c r="D382" i="30"/>
  <c r="D383" i="30"/>
  <c r="D384" i="30"/>
  <c r="D385" i="30"/>
  <c r="D386" i="30"/>
  <c r="D387" i="30"/>
  <c r="D388" i="30"/>
  <c r="D389" i="30"/>
  <c r="D390" i="30"/>
  <c r="D391" i="30"/>
  <c r="D392" i="30"/>
  <c r="D393" i="30"/>
  <c r="D394" i="30"/>
  <c r="D395" i="30"/>
  <c r="D396" i="30"/>
  <c r="D397" i="30"/>
  <c r="D398" i="30"/>
  <c r="E398" i="30" s="1"/>
  <c r="D399" i="30"/>
  <c r="F399" i="30" s="1"/>
  <c r="D400" i="30"/>
  <c r="F400" i="30" s="1"/>
  <c r="D401" i="30"/>
  <c r="F401" i="30" s="1"/>
  <c r="D402" i="30"/>
  <c r="E402" i="30" s="1"/>
  <c r="D403" i="30"/>
  <c r="E403" i="30" s="1"/>
  <c r="D404" i="30"/>
  <c r="F404" i="30" s="1"/>
  <c r="D405" i="30"/>
  <c r="E405" i="30" s="1"/>
  <c r="D406" i="30"/>
  <c r="F406" i="30" s="1"/>
  <c r="D407" i="30"/>
  <c r="E407" i="30" s="1"/>
  <c r="D408" i="30"/>
  <c r="F408" i="30" s="1"/>
  <c r="D409" i="30"/>
  <c r="F409" i="30" s="1"/>
  <c r="D410" i="30"/>
  <c r="F410" i="30" s="1"/>
  <c r="D411" i="30"/>
  <c r="E411" i="30" s="1"/>
  <c r="D412" i="30"/>
  <c r="F412" i="30" s="1"/>
  <c r="D413" i="30"/>
  <c r="E413" i="30" s="1"/>
  <c r="D414" i="30"/>
  <c r="E414" i="30" s="1"/>
  <c r="D415" i="30"/>
  <c r="E415" i="30" s="1"/>
  <c r="D416" i="30"/>
  <c r="F416" i="30" s="1"/>
  <c r="D417" i="30"/>
  <c r="E417" i="30" s="1"/>
  <c r="D418" i="30"/>
  <c r="E418" i="30" s="1"/>
  <c r="D419" i="30"/>
  <c r="E419" i="30" s="1"/>
  <c r="D420" i="30"/>
  <c r="E420" i="30" s="1"/>
  <c r="D421" i="30"/>
  <c r="E421" i="30" s="1"/>
  <c r="D422" i="30"/>
  <c r="F422" i="30" s="1"/>
  <c r="D423" i="30"/>
  <c r="E423" i="30" s="1"/>
  <c r="D424" i="30"/>
  <c r="F424" i="30" s="1"/>
  <c r="D425" i="30"/>
  <c r="F425" i="30" s="1"/>
  <c r="D426" i="30"/>
  <c r="E426" i="30" s="1"/>
  <c r="D427" i="30"/>
  <c r="E427" i="30" s="1"/>
  <c r="D428" i="30"/>
  <c r="F428" i="30" s="1"/>
  <c r="D429" i="30"/>
  <c r="E429" i="30" s="1"/>
  <c r="D430" i="30"/>
  <c r="F430" i="30" s="1"/>
  <c r="D431" i="30"/>
  <c r="F431" i="30" s="1"/>
  <c r="D432" i="30"/>
  <c r="F432" i="30" s="1"/>
  <c r="D433" i="30"/>
  <c r="F433" i="30" s="1"/>
  <c r="D434" i="30"/>
  <c r="F434" i="30" s="1"/>
  <c r="D435" i="30"/>
  <c r="E435" i="30" s="1"/>
  <c r="D436" i="30"/>
  <c r="F436" i="30" s="1"/>
  <c r="D437" i="30"/>
  <c r="E437" i="30" s="1"/>
  <c r="D438" i="30"/>
  <c r="E438" i="30" s="1"/>
  <c r="D439" i="30"/>
  <c r="F439" i="30" s="1"/>
  <c r="D440" i="30"/>
  <c r="E440" i="30" s="1"/>
  <c r="D441" i="30"/>
  <c r="F441" i="30" s="1"/>
  <c r="D4" i="30"/>
  <c r="D5" i="30"/>
  <c r="D6" i="30"/>
  <c r="D7" i="30"/>
  <c r="E373" i="30"/>
  <c r="C397" i="30"/>
  <c r="C396" i="30"/>
  <c r="C395" i="30"/>
  <c r="C394" i="30"/>
  <c r="C393" i="30"/>
  <c r="C392" i="30"/>
  <c r="C391" i="30"/>
  <c r="C390" i="30"/>
  <c r="C389" i="30"/>
  <c r="C388" i="30"/>
  <c r="C387" i="30"/>
  <c r="C386" i="30"/>
  <c r="C385" i="30"/>
  <c r="C384" i="30"/>
  <c r="C383" i="30"/>
  <c r="C382" i="30"/>
  <c r="C381" i="30"/>
  <c r="C380" i="30"/>
  <c r="C379" i="30"/>
  <c r="C378" i="30"/>
  <c r="C377" i="30"/>
  <c r="C376" i="30"/>
  <c r="C375" i="30"/>
  <c r="C374" i="30"/>
  <c r="C372" i="30"/>
  <c r="C371" i="30"/>
  <c r="C370" i="30"/>
  <c r="C369" i="30"/>
  <c r="C368" i="30"/>
  <c r="C367" i="30"/>
  <c r="C366" i="30"/>
  <c r="C365" i="30"/>
  <c r="C364" i="30"/>
  <c r="C363" i="30"/>
  <c r="C362" i="30"/>
  <c r="C361" i="30"/>
  <c r="C360" i="30"/>
  <c r="C359" i="30"/>
  <c r="C358" i="30"/>
  <c r="C357" i="30"/>
  <c r="C356" i="30"/>
  <c r="C355" i="30"/>
  <c r="C354" i="30"/>
  <c r="C353" i="30"/>
  <c r="C352" i="30"/>
  <c r="C351" i="30"/>
  <c r="C350" i="30"/>
  <c r="C349" i="30"/>
  <c r="C347" i="30"/>
  <c r="C346" i="30"/>
  <c r="C345" i="30"/>
  <c r="C344" i="30"/>
  <c r="C343" i="30"/>
  <c r="C342" i="30"/>
  <c r="C341" i="30"/>
  <c r="C340" i="30"/>
  <c r="C339" i="30"/>
  <c r="C338" i="30"/>
  <c r="C337" i="30"/>
  <c r="F337" i="30" s="1"/>
  <c r="C336" i="30"/>
  <c r="C335" i="30"/>
  <c r="C334" i="30"/>
  <c r="C333" i="30"/>
  <c r="C332" i="30"/>
  <c r="C331" i="30"/>
  <c r="C330" i="30"/>
  <c r="C329" i="30"/>
  <c r="C328" i="30"/>
  <c r="C327" i="30"/>
  <c r="C326" i="30"/>
  <c r="C325" i="30"/>
  <c r="C324" i="30"/>
  <c r="C322" i="30"/>
  <c r="C321" i="30"/>
  <c r="C320" i="30"/>
  <c r="C319" i="30"/>
  <c r="C318" i="30"/>
  <c r="C317" i="30"/>
  <c r="C316" i="30"/>
  <c r="C315" i="30"/>
  <c r="C314" i="30"/>
  <c r="F314" i="30" s="1"/>
  <c r="C312" i="30"/>
  <c r="C311" i="30"/>
  <c r="C310" i="30"/>
  <c r="C309" i="30"/>
  <c r="C308" i="30"/>
  <c r="C307" i="30"/>
  <c r="C306" i="30"/>
  <c r="C305" i="30"/>
  <c r="C304" i="30"/>
  <c r="C302" i="30"/>
  <c r="C301" i="30"/>
  <c r="C300" i="30"/>
  <c r="C299" i="30"/>
  <c r="C298" i="30"/>
  <c r="C297" i="30"/>
  <c r="C296" i="30"/>
  <c r="C295" i="30"/>
  <c r="C294" i="30"/>
  <c r="C293" i="30"/>
  <c r="F293" i="30" s="1"/>
  <c r="C292" i="30"/>
  <c r="C291" i="30"/>
  <c r="C290" i="30"/>
  <c r="C289" i="30"/>
  <c r="C288" i="30"/>
  <c r="C287" i="30"/>
  <c r="C286" i="30"/>
  <c r="C285" i="30"/>
  <c r="C284" i="30"/>
  <c r="C283" i="30"/>
  <c r="C282" i="30"/>
  <c r="C281" i="30"/>
  <c r="C280" i="30"/>
  <c r="C279" i="30"/>
  <c r="C277" i="30"/>
  <c r="C276" i="30"/>
  <c r="C275" i="30"/>
  <c r="C274" i="30"/>
  <c r="C273" i="30"/>
  <c r="C272" i="30"/>
  <c r="C271" i="30"/>
  <c r="C270" i="30"/>
  <c r="C269" i="30"/>
  <c r="C268" i="30"/>
  <c r="C267" i="30"/>
  <c r="C266" i="30"/>
  <c r="C265" i="30"/>
  <c r="E265" i="30" s="1"/>
  <c r="C264" i="30"/>
  <c r="C263" i="30"/>
  <c r="C262" i="30"/>
  <c r="C261" i="30"/>
  <c r="C260" i="30"/>
  <c r="C259" i="30"/>
  <c r="C258" i="30"/>
  <c r="C257" i="30"/>
  <c r="C256" i="30"/>
  <c r="C255" i="30"/>
  <c r="C254" i="30"/>
  <c r="C252" i="30"/>
  <c r="C251" i="30"/>
  <c r="C250" i="30"/>
  <c r="C249" i="30"/>
  <c r="C248" i="30"/>
  <c r="C247" i="30"/>
  <c r="C246" i="30"/>
  <c r="C245" i="30"/>
  <c r="C244" i="30"/>
  <c r="C243" i="30"/>
  <c r="C242" i="30"/>
  <c r="C241" i="30"/>
  <c r="C240" i="30"/>
  <c r="C239" i="30"/>
  <c r="C238" i="30"/>
  <c r="C237" i="30"/>
  <c r="C236" i="30"/>
  <c r="C235" i="30"/>
  <c r="C234" i="30"/>
  <c r="C233" i="30"/>
  <c r="C232" i="30"/>
  <c r="C231" i="30"/>
  <c r="C230" i="30"/>
  <c r="C229" i="30"/>
  <c r="C227" i="30"/>
  <c r="C226" i="30"/>
  <c r="C225" i="30"/>
  <c r="C224" i="30"/>
  <c r="C223" i="30"/>
  <c r="C222" i="30"/>
  <c r="C221" i="30"/>
  <c r="C220" i="30"/>
  <c r="C219" i="30"/>
  <c r="C218" i="30"/>
  <c r="C217" i="30"/>
  <c r="C216" i="30"/>
  <c r="C215" i="30"/>
  <c r="C214" i="30"/>
  <c r="C213" i="30"/>
  <c r="C212" i="30"/>
  <c r="C211" i="30"/>
  <c r="C210" i="30"/>
  <c r="C209" i="30"/>
  <c r="C208" i="30"/>
  <c r="C207" i="30"/>
  <c r="C206" i="30"/>
  <c r="C205" i="30"/>
  <c r="C204" i="30"/>
  <c r="C202" i="30"/>
  <c r="C201" i="30"/>
  <c r="C200" i="30"/>
  <c r="C199" i="30"/>
  <c r="C198" i="30"/>
  <c r="C197" i="30"/>
  <c r="C196" i="30"/>
  <c r="C195" i="30"/>
  <c r="C194" i="30"/>
  <c r="C193" i="30"/>
  <c r="C192" i="30"/>
  <c r="C191" i="30"/>
  <c r="C190" i="30"/>
  <c r="C189" i="30"/>
  <c r="C188" i="30"/>
  <c r="C187" i="30"/>
  <c r="C186" i="30"/>
  <c r="C185" i="30"/>
  <c r="C184" i="30"/>
  <c r="C182" i="30"/>
  <c r="C181" i="30"/>
  <c r="C180" i="30"/>
  <c r="C179" i="30"/>
  <c r="C178" i="30"/>
  <c r="C177" i="30"/>
  <c r="C176" i="30"/>
  <c r="C175" i="30"/>
  <c r="C174" i="30"/>
  <c r="C173" i="30"/>
  <c r="C172" i="30"/>
  <c r="C171" i="30"/>
  <c r="C170" i="30"/>
  <c r="C169" i="30"/>
  <c r="C168" i="30"/>
  <c r="C167" i="30"/>
  <c r="C166" i="30"/>
  <c r="C165" i="30"/>
  <c r="C164" i="30"/>
  <c r="C162" i="30"/>
  <c r="C161" i="30"/>
  <c r="C160" i="30"/>
  <c r="C159" i="30"/>
  <c r="C158" i="30"/>
  <c r="C157" i="30"/>
  <c r="C156" i="30"/>
  <c r="C155" i="30"/>
  <c r="C154" i="30"/>
  <c r="C153" i="30"/>
  <c r="C152" i="30"/>
  <c r="C151" i="30"/>
  <c r="C150" i="30"/>
  <c r="C149" i="30"/>
  <c r="C148" i="30"/>
  <c r="C147" i="30"/>
  <c r="C146" i="30"/>
  <c r="C145" i="30"/>
  <c r="C144" i="30"/>
  <c r="C142" i="30"/>
  <c r="C141" i="30"/>
  <c r="C140" i="30"/>
  <c r="C139" i="30"/>
  <c r="C138" i="30"/>
  <c r="C137" i="30"/>
  <c r="C136" i="30"/>
  <c r="C135" i="30"/>
  <c r="C134" i="30"/>
  <c r="C133" i="30"/>
  <c r="C132" i="30"/>
  <c r="C131" i="30"/>
  <c r="C130" i="30"/>
  <c r="C129" i="30"/>
  <c r="C128" i="30"/>
  <c r="C127" i="30"/>
  <c r="C126" i="30"/>
  <c r="C125" i="30"/>
  <c r="C124" i="30"/>
  <c r="C122" i="30"/>
  <c r="C121" i="30"/>
  <c r="C120" i="30"/>
  <c r="C119" i="30"/>
  <c r="C118" i="30"/>
  <c r="C117" i="30"/>
  <c r="C116" i="30"/>
  <c r="C115" i="30"/>
  <c r="C114" i="30"/>
  <c r="C113" i="30"/>
  <c r="C112" i="30"/>
  <c r="C111" i="30"/>
  <c r="C110" i="30"/>
  <c r="C109" i="30"/>
  <c r="C108" i="30"/>
  <c r="C107" i="30"/>
  <c r="C106" i="30"/>
  <c r="C105" i="30"/>
  <c r="C104" i="30"/>
  <c r="C102" i="30"/>
  <c r="C101" i="30"/>
  <c r="C100" i="30"/>
  <c r="C99" i="30"/>
  <c r="C98" i="30"/>
  <c r="C97" i="30"/>
  <c r="C96" i="30"/>
  <c r="C95" i="30"/>
  <c r="C94" i="30"/>
  <c r="C92" i="30"/>
  <c r="C91" i="30"/>
  <c r="C90" i="30"/>
  <c r="C89" i="30"/>
  <c r="C88" i="30"/>
  <c r="C87" i="30"/>
  <c r="C86" i="30"/>
  <c r="C85" i="30"/>
  <c r="C84" i="30"/>
  <c r="C82" i="30"/>
  <c r="C81" i="30"/>
  <c r="C80" i="30"/>
  <c r="C79" i="30"/>
  <c r="C78" i="30"/>
  <c r="C77" i="30"/>
  <c r="C76" i="30"/>
  <c r="C75" i="30"/>
  <c r="C74" i="30"/>
  <c r="C72" i="30"/>
  <c r="C71" i="30"/>
  <c r="C70" i="30"/>
  <c r="C69" i="30"/>
  <c r="C68" i="30"/>
  <c r="C67" i="30"/>
  <c r="C66" i="30"/>
  <c r="C65" i="30"/>
  <c r="C64" i="30"/>
  <c r="C62" i="30"/>
  <c r="C61" i="30"/>
  <c r="C60" i="30"/>
  <c r="C59" i="30"/>
  <c r="C58" i="30"/>
  <c r="C57" i="30"/>
  <c r="C56" i="30"/>
  <c r="C55" i="30"/>
  <c r="C54" i="30"/>
  <c r="C52" i="30"/>
  <c r="C51" i="30"/>
  <c r="C50" i="30"/>
  <c r="C49" i="30"/>
  <c r="C47" i="30"/>
  <c r="C46" i="30"/>
  <c r="C45" i="30"/>
  <c r="C44" i="30"/>
  <c r="C42" i="30"/>
  <c r="C41" i="30"/>
  <c r="C40" i="30"/>
  <c r="C39" i="30"/>
  <c r="C37" i="30"/>
  <c r="C36" i="30"/>
  <c r="C35" i="30"/>
  <c r="C34" i="30"/>
  <c r="C32" i="30"/>
  <c r="C31" i="30"/>
  <c r="C30" i="30"/>
  <c r="C29" i="30"/>
  <c r="C24" i="30"/>
  <c r="C397" i="29"/>
  <c r="C396" i="29"/>
  <c r="C395" i="29"/>
  <c r="C394" i="29"/>
  <c r="C393" i="29"/>
  <c r="C392" i="29"/>
  <c r="C391" i="29"/>
  <c r="C390" i="29"/>
  <c r="C389" i="29"/>
  <c r="C388" i="29"/>
  <c r="C387" i="29"/>
  <c r="C386" i="29"/>
  <c r="C385" i="29"/>
  <c r="C384" i="29"/>
  <c r="C383" i="29"/>
  <c r="C382" i="29"/>
  <c r="C381" i="29"/>
  <c r="C380" i="29"/>
  <c r="C379" i="29"/>
  <c r="C378" i="29"/>
  <c r="C377" i="29"/>
  <c r="C376" i="29"/>
  <c r="C375" i="29"/>
  <c r="C374" i="29"/>
  <c r="C372" i="29"/>
  <c r="C371" i="29"/>
  <c r="C370" i="29"/>
  <c r="C369" i="29"/>
  <c r="C368" i="29"/>
  <c r="C367" i="29"/>
  <c r="C366" i="29"/>
  <c r="C365" i="29"/>
  <c r="C364" i="29"/>
  <c r="C363" i="29"/>
  <c r="C362" i="29"/>
  <c r="C361" i="29"/>
  <c r="C360" i="29"/>
  <c r="C359" i="29"/>
  <c r="C358" i="29"/>
  <c r="C357" i="29"/>
  <c r="C356" i="29"/>
  <c r="C355" i="29"/>
  <c r="C354" i="29"/>
  <c r="C353" i="29"/>
  <c r="C352" i="29"/>
  <c r="C351" i="29"/>
  <c r="C350" i="29"/>
  <c r="C349" i="29"/>
  <c r="C347" i="29"/>
  <c r="C346" i="29"/>
  <c r="C345" i="29"/>
  <c r="C344" i="29"/>
  <c r="C343" i="29"/>
  <c r="C342" i="29"/>
  <c r="C341" i="29"/>
  <c r="C340" i="29"/>
  <c r="C339" i="29"/>
  <c r="C338" i="29"/>
  <c r="C337" i="29"/>
  <c r="C336" i="29"/>
  <c r="C335" i="29"/>
  <c r="C334" i="29"/>
  <c r="C333" i="29"/>
  <c r="C332" i="29"/>
  <c r="C331" i="29"/>
  <c r="C330" i="29"/>
  <c r="C329" i="29"/>
  <c r="C328" i="29"/>
  <c r="C327" i="29"/>
  <c r="C326" i="29"/>
  <c r="C325" i="29"/>
  <c r="C324" i="29"/>
  <c r="C322" i="29"/>
  <c r="C321" i="29"/>
  <c r="C320" i="29"/>
  <c r="C319" i="29"/>
  <c r="C318" i="29"/>
  <c r="C317" i="29"/>
  <c r="C316" i="29"/>
  <c r="C315" i="29"/>
  <c r="C314" i="29"/>
  <c r="C312" i="29"/>
  <c r="C311" i="29"/>
  <c r="C310" i="29"/>
  <c r="C309" i="29"/>
  <c r="C308" i="29"/>
  <c r="C307" i="29"/>
  <c r="C306" i="29"/>
  <c r="C305" i="29"/>
  <c r="C304" i="29"/>
  <c r="C302" i="29"/>
  <c r="C301" i="29"/>
  <c r="C300" i="29"/>
  <c r="C299" i="29"/>
  <c r="C298" i="29"/>
  <c r="C297" i="29"/>
  <c r="C296" i="29"/>
  <c r="C295" i="29"/>
  <c r="C294" i="29"/>
  <c r="C293" i="29"/>
  <c r="C292" i="29"/>
  <c r="C291" i="29"/>
  <c r="C290" i="29"/>
  <c r="C289" i="29"/>
  <c r="C288" i="29"/>
  <c r="C287" i="29"/>
  <c r="C286" i="29"/>
  <c r="C285" i="29"/>
  <c r="C284" i="29"/>
  <c r="C283" i="29"/>
  <c r="C282" i="29"/>
  <c r="C281" i="29"/>
  <c r="C280" i="29"/>
  <c r="C279" i="29"/>
  <c r="C277" i="29"/>
  <c r="C276" i="29"/>
  <c r="C275" i="29"/>
  <c r="C274" i="29"/>
  <c r="C273" i="29"/>
  <c r="C272" i="29"/>
  <c r="C271" i="29"/>
  <c r="C270" i="29"/>
  <c r="C269" i="29"/>
  <c r="C268" i="29"/>
  <c r="C267" i="29"/>
  <c r="C266" i="29"/>
  <c r="C265" i="29"/>
  <c r="C264" i="29"/>
  <c r="C263" i="29"/>
  <c r="C262" i="29"/>
  <c r="C261" i="29"/>
  <c r="C260" i="29"/>
  <c r="C259" i="29"/>
  <c r="C258" i="29"/>
  <c r="C257" i="29"/>
  <c r="C256" i="29"/>
  <c r="C255" i="29"/>
  <c r="C254" i="29"/>
  <c r="C252" i="29"/>
  <c r="C251" i="29"/>
  <c r="C250" i="29"/>
  <c r="C249" i="29"/>
  <c r="C248" i="29"/>
  <c r="C247" i="29"/>
  <c r="C246" i="29"/>
  <c r="C245" i="29"/>
  <c r="C244" i="29"/>
  <c r="C243" i="29"/>
  <c r="C242" i="29"/>
  <c r="C241" i="29"/>
  <c r="C240" i="29"/>
  <c r="C239" i="29"/>
  <c r="C238" i="29"/>
  <c r="C237" i="29"/>
  <c r="C236" i="29"/>
  <c r="C235" i="29"/>
  <c r="C234" i="29"/>
  <c r="C233" i="29"/>
  <c r="C232" i="29"/>
  <c r="C231" i="29"/>
  <c r="C230" i="29"/>
  <c r="C229" i="29"/>
  <c r="C227" i="29"/>
  <c r="C226" i="29"/>
  <c r="C225" i="29"/>
  <c r="C224" i="29"/>
  <c r="C223" i="29"/>
  <c r="C222" i="29"/>
  <c r="C221" i="29"/>
  <c r="C220" i="29"/>
  <c r="C219" i="29"/>
  <c r="C218" i="29"/>
  <c r="C217" i="29"/>
  <c r="C216" i="29"/>
  <c r="C215" i="29"/>
  <c r="C214" i="29"/>
  <c r="C213" i="29"/>
  <c r="C212" i="29"/>
  <c r="C211" i="29"/>
  <c r="C210" i="29"/>
  <c r="C209" i="29"/>
  <c r="C208" i="29"/>
  <c r="C207" i="29"/>
  <c r="C206" i="29"/>
  <c r="C205" i="29"/>
  <c r="C204" i="29"/>
  <c r="C202" i="29"/>
  <c r="C201" i="29"/>
  <c r="C200" i="29"/>
  <c r="C199" i="29"/>
  <c r="C198" i="29"/>
  <c r="C197" i="29"/>
  <c r="C196" i="29"/>
  <c r="C195" i="29"/>
  <c r="C194" i="29"/>
  <c r="C193" i="29"/>
  <c r="C192" i="29"/>
  <c r="C191" i="29"/>
  <c r="C190" i="29"/>
  <c r="C189" i="29"/>
  <c r="C188" i="29"/>
  <c r="C187" i="29"/>
  <c r="C186" i="29"/>
  <c r="C185" i="29"/>
  <c r="C184" i="29"/>
  <c r="C182" i="29"/>
  <c r="C181" i="29"/>
  <c r="C180" i="29"/>
  <c r="C179" i="29"/>
  <c r="C178" i="29"/>
  <c r="C177" i="29"/>
  <c r="C176" i="29"/>
  <c r="C175" i="29"/>
  <c r="C174" i="29"/>
  <c r="C173" i="29"/>
  <c r="C172" i="29"/>
  <c r="C171" i="29"/>
  <c r="C170" i="29"/>
  <c r="C169" i="29"/>
  <c r="C168" i="29"/>
  <c r="C167" i="29"/>
  <c r="C166" i="29"/>
  <c r="C165" i="29"/>
  <c r="C164" i="29"/>
  <c r="C162" i="29"/>
  <c r="C161" i="29"/>
  <c r="C160" i="29"/>
  <c r="C159" i="29"/>
  <c r="C158" i="29"/>
  <c r="C157" i="29"/>
  <c r="C156" i="29"/>
  <c r="C155" i="29"/>
  <c r="C154" i="29"/>
  <c r="C153" i="29"/>
  <c r="C152" i="29"/>
  <c r="C151" i="29"/>
  <c r="C150" i="29"/>
  <c r="C149" i="29"/>
  <c r="C148" i="29"/>
  <c r="C147" i="29"/>
  <c r="C146" i="29"/>
  <c r="C145" i="29"/>
  <c r="C144" i="29"/>
  <c r="C142" i="29"/>
  <c r="C141" i="29"/>
  <c r="C140" i="29"/>
  <c r="C139" i="29"/>
  <c r="C138" i="29"/>
  <c r="C137" i="29"/>
  <c r="C136" i="29"/>
  <c r="C135" i="29"/>
  <c r="C134" i="29"/>
  <c r="C133" i="29"/>
  <c r="C132" i="29"/>
  <c r="C131" i="29"/>
  <c r="C130" i="29"/>
  <c r="C129" i="29"/>
  <c r="C128" i="29"/>
  <c r="C127" i="29"/>
  <c r="C126" i="29"/>
  <c r="C125" i="29"/>
  <c r="C124" i="29"/>
  <c r="C122" i="29"/>
  <c r="C121" i="29"/>
  <c r="C120" i="29"/>
  <c r="C119" i="29"/>
  <c r="C118" i="29"/>
  <c r="C117" i="29"/>
  <c r="C116" i="29"/>
  <c r="C115" i="29"/>
  <c r="C114" i="29"/>
  <c r="C113" i="29"/>
  <c r="C112" i="29"/>
  <c r="C111" i="29"/>
  <c r="C110" i="29"/>
  <c r="C109" i="29"/>
  <c r="C108" i="29"/>
  <c r="C107" i="29"/>
  <c r="C106" i="29"/>
  <c r="C105" i="29"/>
  <c r="C104" i="29"/>
  <c r="C102" i="29"/>
  <c r="C101" i="29"/>
  <c r="C100" i="29"/>
  <c r="C99" i="29"/>
  <c r="C98" i="29"/>
  <c r="C97" i="29"/>
  <c r="C96" i="29"/>
  <c r="C95" i="29"/>
  <c r="C94" i="29"/>
  <c r="C92" i="29"/>
  <c r="C91" i="29"/>
  <c r="C90" i="29"/>
  <c r="C89" i="29"/>
  <c r="C88" i="29"/>
  <c r="C87" i="29"/>
  <c r="C86" i="29"/>
  <c r="C85" i="29"/>
  <c r="C84" i="29"/>
  <c r="C82" i="29"/>
  <c r="C81" i="29"/>
  <c r="C80" i="29"/>
  <c r="C79" i="29"/>
  <c r="C78" i="29"/>
  <c r="C77" i="29"/>
  <c r="C76" i="29"/>
  <c r="C75" i="29"/>
  <c r="C74" i="29"/>
  <c r="C72" i="29"/>
  <c r="C71" i="29"/>
  <c r="C70" i="29"/>
  <c r="C69" i="29"/>
  <c r="C68" i="29"/>
  <c r="C67" i="29"/>
  <c r="C66" i="29"/>
  <c r="C65" i="29"/>
  <c r="C64" i="29"/>
  <c r="C62" i="29"/>
  <c r="C61" i="29"/>
  <c r="C60" i="29"/>
  <c r="C59" i="29"/>
  <c r="C58" i="29"/>
  <c r="C57" i="29"/>
  <c r="C56" i="29"/>
  <c r="C55" i="29"/>
  <c r="C54" i="29"/>
  <c r="C52" i="29"/>
  <c r="C51" i="29"/>
  <c r="C50" i="29"/>
  <c r="C49" i="29"/>
  <c r="C47" i="29"/>
  <c r="C46" i="29"/>
  <c r="C45" i="29"/>
  <c r="C44" i="29"/>
  <c r="C42" i="29"/>
  <c r="C41" i="29"/>
  <c r="C40" i="29"/>
  <c r="C39" i="29"/>
  <c r="C37" i="29"/>
  <c r="C36" i="29"/>
  <c r="C35" i="29"/>
  <c r="C34" i="29"/>
  <c r="C32" i="29"/>
  <c r="C31" i="29"/>
  <c r="C30" i="29"/>
  <c r="C29" i="29"/>
  <c r="C27" i="29"/>
  <c r="C26" i="29"/>
  <c r="C25" i="29"/>
  <c r="C24" i="29"/>
  <c r="E391" i="30" l="1"/>
  <c r="E387" i="30"/>
  <c r="E383" i="30"/>
  <c r="E379" i="30"/>
  <c r="F375" i="30"/>
  <c r="F358" i="30"/>
  <c r="F300" i="30"/>
  <c r="F351" i="30"/>
  <c r="E338" i="30"/>
  <c r="N7" i="30"/>
  <c r="U74" i="17" s="1"/>
  <c r="N11" i="30"/>
  <c r="U78" i="17" s="1"/>
  <c r="F306" i="30"/>
  <c r="E301" i="30"/>
  <c r="E257" i="30"/>
  <c r="F319" i="30"/>
  <c r="F394" i="30"/>
  <c r="E286" i="30"/>
  <c r="E333" i="30"/>
  <c r="F354" i="30"/>
  <c r="E362" i="30"/>
  <c r="F370" i="30"/>
  <c r="F326" i="30"/>
  <c r="N8" i="30"/>
  <c r="U75" i="17" s="1"/>
  <c r="E331" i="30"/>
  <c r="N10" i="30"/>
  <c r="U77" i="17" s="1"/>
  <c r="N6" i="30"/>
  <c r="U73" i="17" s="1"/>
  <c r="N9" i="30"/>
  <c r="U76" i="17" s="1"/>
  <c r="N12" i="30"/>
  <c r="U79" i="17" s="1"/>
  <c r="E308" i="30"/>
  <c r="O16" i="29"/>
  <c r="R79" i="17" s="1"/>
  <c r="O33" i="29"/>
  <c r="R104" i="17" s="1"/>
  <c r="O25" i="29"/>
  <c r="R96" i="17" s="1"/>
  <c r="O22" i="29"/>
  <c r="R93" i="17" s="1"/>
  <c r="O15" i="29"/>
  <c r="R78" i="17" s="1"/>
  <c r="F403" i="29"/>
  <c r="O12" i="29"/>
  <c r="R75" i="17" s="1"/>
  <c r="O13" i="29"/>
  <c r="R76" i="17" s="1"/>
  <c r="O19" i="29"/>
  <c r="R90" i="17" s="1"/>
  <c r="O23" i="29"/>
  <c r="R94" i="17" s="1"/>
  <c r="O29" i="29"/>
  <c r="R100" i="17" s="1"/>
  <c r="E395" i="29"/>
  <c r="E387" i="29"/>
  <c r="E383" i="29"/>
  <c r="O32" i="29"/>
  <c r="R103" i="17" s="1"/>
  <c r="O10" i="29"/>
  <c r="R73" i="17" s="1"/>
  <c r="O14" i="29"/>
  <c r="R77" i="17" s="1"/>
  <c r="O20" i="29"/>
  <c r="R91" i="17" s="1"/>
  <c r="O24" i="29"/>
  <c r="R95" i="17" s="1"/>
  <c r="O30" i="29"/>
  <c r="O34" i="29"/>
  <c r="R105" i="17" s="1"/>
  <c r="F394" i="29"/>
  <c r="F386" i="29"/>
  <c r="F378" i="29"/>
  <c r="O28" i="29"/>
  <c r="R99" i="17" s="1"/>
  <c r="O11" i="29"/>
  <c r="R74" i="17" s="1"/>
  <c r="O21" i="29"/>
  <c r="R92" i="17" s="1"/>
  <c r="O31" i="29"/>
  <c r="R102" i="17" s="1"/>
  <c r="E397" i="29"/>
  <c r="E393" i="29"/>
  <c r="E389" i="29"/>
  <c r="E381" i="29"/>
  <c r="E377" i="29"/>
  <c r="F377" i="29"/>
  <c r="F435" i="29"/>
  <c r="F427" i="29"/>
  <c r="E394" i="29"/>
  <c r="F434" i="29"/>
  <c r="F426" i="29"/>
  <c r="F395" i="29"/>
  <c r="F439" i="29"/>
  <c r="F431" i="29"/>
  <c r="F422" i="29"/>
  <c r="F393" i="29"/>
  <c r="F438" i="29"/>
  <c r="F430" i="29"/>
  <c r="F409" i="29"/>
  <c r="F381" i="29"/>
  <c r="E402" i="29"/>
  <c r="E440" i="29"/>
  <c r="F440" i="29"/>
  <c r="E436" i="29"/>
  <c r="F436" i="29"/>
  <c r="E432" i="29"/>
  <c r="F432" i="29"/>
  <c r="E428" i="29"/>
  <c r="F428" i="29"/>
  <c r="E424" i="29"/>
  <c r="F424" i="29"/>
  <c r="E420" i="29"/>
  <c r="F420" i="29"/>
  <c r="E416" i="29"/>
  <c r="F416" i="29"/>
  <c r="E412" i="29"/>
  <c r="F412" i="29"/>
  <c r="E408" i="29"/>
  <c r="F408" i="29"/>
  <c r="E404" i="29"/>
  <c r="F404" i="29"/>
  <c r="E400" i="29"/>
  <c r="F400" i="29"/>
  <c r="E396" i="29"/>
  <c r="F396" i="29"/>
  <c r="E392" i="29"/>
  <c r="F392" i="29"/>
  <c r="E388" i="29"/>
  <c r="F388" i="29"/>
  <c r="E384" i="29"/>
  <c r="F384" i="29"/>
  <c r="E380" i="29"/>
  <c r="F380" i="29"/>
  <c r="E376" i="29"/>
  <c r="F376" i="29"/>
  <c r="E407" i="29"/>
  <c r="F407" i="29"/>
  <c r="E391" i="29"/>
  <c r="F391" i="29"/>
  <c r="E379" i="29"/>
  <c r="F379" i="29"/>
  <c r="E375" i="29"/>
  <c r="F375" i="29"/>
  <c r="F415" i="29"/>
  <c r="F387" i="29"/>
  <c r="F414" i="29"/>
  <c r="E414" i="29"/>
  <c r="F406" i="29"/>
  <c r="E406" i="29"/>
  <c r="F398" i="29"/>
  <c r="E398" i="29"/>
  <c r="F390" i="29"/>
  <c r="E390" i="29"/>
  <c r="F382" i="29"/>
  <c r="E382" i="29"/>
  <c r="F374" i="29"/>
  <c r="E374" i="29"/>
  <c r="F441" i="29"/>
  <c r="F437" i="29"/>
  <c r="F433" i="29"/>
  <c r="F429" i="29"/>
  <c r="F419" i="29"/>
  <c r="F413" i="29"/>
  <c r="F405" i="29"/>
  <c r="F399" i="29"/>
  <c r="E418" i="29"/>
  <c r="E386" i="29"/>
  <c r="E425" i="29"/>
  <c r="F425" i="29"/>
  <c r="E421" i="29"/>
  <c r="F421" i="29"/>
  <c r="E417" i="29"/>
  <c r="F417" i="29"/>
  <c r="E401" i="29"/>
  <c r="F401" i="29"/>
  <c r="E385" i="29"/>
  <c r="F385" i="29"/>
  <c r="F423" i="29"/>
  <c r="F411" i="29"/>
  <c r="F397" i="29"/>
  <c r="F389" i="29"/>
  <c r="F383" i="29"/>
  <c r="F373" i="29"/>
  <c r="E410" i="29"/>
  <c r="E378" i="29"/>
  <c r="F257" i="30"/>
  <c r="F261" i="30"/>
  <c r="F265" i="30"/>
  <c r="E277" i="30"/>
  <c r="E329" i="30"/>
  <c r="E337" i="30"/>
  <c r="E341" i="30"/>
  <c r="F345" i="30"/>
  <c r="E431" i="30"/>
  <c r="E288" i="30"/>
  <c r="F356" i="30"/>
  <c r="F368" i="30"/>
  <c r="F407" i="30"/>
  <c r="E315" i="30"/>
  <c r="E319" i="30"/>
  <c r="E399" i="30"/>
  <c r="E375" i="30"/>
  <c r="F383" i="30"/>
  <c r="F391" i="30"/>
  <c r="E395" i="30"/>
  <c r="E439" i="30"/>
  <c r="F415" i="30"/>
  <c r="E316" i="30"/>
  <c r="E351" i="30"/>
  <c r="E355" i="30"/>
  <c r="F359" i="30"/>
  <c r="E363" i="30"/>
  <c r="E367" i="30"/>
  <c r="E371" i="30"/>
  <c r="F423" i="30"/>
  <c r="E335" i="30"/>
  <c r="E339" i="30"/>
  <c r="E343" i="30"/>
  <c r="E347" i="30"/>
  <c r="E317" i="30"/>
  <c r="F321" i="30"/>
  <c r="E409" i="30"/>
  <c r="E401" i="30"/>
  <c r="F253" i="30"/>
  <c r="F305" i="30"/>
  <c r="E377" i="30"/>
  <c r="E381" i="30"/>
  <c r="E385" i="30"/>
  <c r="E389" i="30"/>
  <c r="E393" i="30"/>
  <c r="E397" i="30"/>
  <c r="E281" i="30"/>
  <c r="E285" i="30"/>
  <c r="E289" i="30"/>
  <c r="E293" i="30"/>
  <c r="E297" i="30"/>
  <c r="F301" i="30"/>
  <c r="E349" i="30"/>
  <c r="E353" i="30"/>
  <c r="E357" i="30"/>
  <c r="E361" i="30"/>
  <c r="E365" i="30"/>
  <c r="E369" i="30"/>
  <c r="F282" i="30"/>
  <c r="F286" i="30"/>
  <c r="E302" i="30"/>
  <c r="F414" i="30"/>
  <c r="E425" i="30"/>
  <c r="E430" i="30"/>
  <c r="F418" i="30"/>
  <c r="E314" i="30"/>
  <c r="F318" i="30"/>
  <c r="E322" i="30"/>
  <c r="E422" i="30"/>
  <c r="E406" i="30"/>
  <c r="F278" i="30"/>
  <c r="F398" i="30"/>
  <c r="E348" i="30"/>
  <c r="F348" i="30"/>
  <c r="F420" i="30"/>
  <c r="F350" i="30"/>
  <c r="E354" i="30"/>
  <c r="E358" i="30"/>
  <c r="F362" i="30"/>
  <c r="F366" i="30"/>
  <c r="F438" i="30"/>
  <c r="E434" i="30"/>
  <c r="F426" i="30"/>
  <c r="E410" i="30"/>
  <c r="F402" i="30"/>
  <c r="E370" i="30"/>
  <c r="E256" i="30"/>
  <c r="F258" i="30"/>
  <c r="E262" i="30"/>
  <c r="E266" i="30"/>
  <c r="F268" i="30"/>
  <c r="F274" i="30"/>
  <c r="E276" i="30"/>
  <c r="F324" i="30"/>
  <c r="E326" i="30"/>
  <c r="F336" i="30"/>
  <c r="F338" i="30"/>
  <c r="F342" i="30"/>
  <c r="E346" i="30"/>
  <c r="E441" i="30"/>
  <c r="E433" i="30"/>
  <c r="E412" i="30"/>
  <c r="E306" i="30"/>
  <c r="E310" i="30"/>
  <c r="F374" i="30"/>
  <c r="E378" i="30"/>
  <c r="E380" i="30"/>
  <c r="F382" i="30"/>
  <c r="F386" i="30"/>
  <c r="F388" i="30"/>
  <c r="E390" i="30"/>
  <c r="E394" i="30"/>
  <c r="E309" i="30"/>
  <c r="F309" i="30"/>
  <c r="F367" i="30"/>
  <c r="E359" i="30"/>
  <c r="E345" i="30"/>
  <c r="E321" i="30"/>
  <c r="E274" i="30"/>
  <c r="F266" i="30"/>
  <c r="E334" i="30"/>
  <c r="F334" i="30"/>
  <c r="E269" i="30"/>
  <c r="F269" i="30"/>
  <c r="E273" i="30"/>
  <c r="F273" i="30"/>
  <c r="F417" i="30"/>
  <c r="F393" i="30"/>
  <c r="F385" i="30"/>
  <c r="E382" i="30"/>
  <c r="F377" i="30"/>
  <c r="E374" i="30"/>
  <c r="F369" i="30"/>
  <c r="E366" i="30"/>
  <c r="F361" i="30"/>
  <c r="F353" i="30"/>
  <c r="E350" i="30"/>
  <c r="F346" i="30"/>
  <c r="E342" i="30"/>
  <c r="F335" i="30"/>
  <c r="F329" i="30"/>
  <c r="E318" i="30"/>
  <c r="F310" i="30"/>
  <c r="E305" i="30"/>
  <c r="F297" i="30"/>
  <c r="F289" i="30"/>
  <c r="E282" i="30"/>
  <c r="F277" i="30"/>
  <c r="E270" i="30"/>
  <c r="F262" i="30"/>
  <c r="E254" i="30"/>
  <c r="F254" i="30"/>
  <c r="E258" i="30"/>
  <c r="E330" i="30"/>
  <c r="F330" i="30"/>
  <c r="F390" i="30"/>
  <c r="E386" i="30"/>
  <c r="F378" i="30"/>
  <c r="F343" i="30"/>
  <c r="F285" i="30"/>
  <c r="F270" i="30"/>
  <c r="E290" i="30"/>
  <c r="F290" i="30"/>
  <c r="E294" i="30"/>
  <c r="F294" i="30"/>
  <c r="E298" i="30"/>
  <c r="F298" i="30"/>
  <c r="E325" i="30"/>
  <c r="E327" i="30"/>
  <c r="F327" i="30"/>
  <c r="F322" i="30"/>
  <c r="F302" i="30"/>
  <c r="F281" i="30"/>
  <c r="E261" i="30"/>
  <c r="E313" i="30"/>
  <c r="F313" i="30"/>
  <c r="F396" i="30"/>
  <c r="F392" i="30"/>
  <c r="E388" i="30"/>
  <c r="F384" i="30"/>
  <c r="F380" i="30"/>
  <c r="F376" i="30"/>
  <c r="F372" i="30"/>
  <c r="F364" i="30"/>
  <c r="F360" i="30"/>
  <c r="E356" i="30"/>
  <c r="F352" i="30"/>
  <c r="F344" i="30"/>
  <c r="F340" i="30"/>
  <c r="F332" i="30"/>
  <c r="F328" i="30"/>
  <c r="E324" i="30"/>
  <c r="F320" i="30"/>
  <c r="F316" i="30"/>
  <c r="F312" i="30"/>
  <c r="F308" i="30"/>
  <c r="F304" i="30"/>
  <c r="F296" i="30"/>
  <c r="F292" i="30"/>
  <c r="F288" i="30"/>
  <c r="F284" i="30"/>
  <c r="F280" i="30"/>
  <c r="F276" i="30"/>
  <c r="F272" i="30"/>
  <c r="F264" i="30"/>
  <c r="F260" i="30"/>
  <c r="F256" i="30"/>
  <c r="E436" i="30"/>
  <c r="E404" i="30"/>
  <c r="E372" i="30"/>
  <c r="E340" i="30"/>
  <c r="E428" i="30"/>
  <c r="E396" i="30"/>
  <c r="E364" i="30"/>
  <c r="E332" i="30"/>
  <c r="E304" i="30"/>
  <c r="E292" i="30"/>
  <c r="E272" i="30"/>
  <c r="E260" i="30"/>
  <c r="E299" i="30"/>
  <c r="F299" i="30"/>
  <c r="E267" i="30"/>
  <c r="F267" i="30"/>
  <c r="E311" i="30"/>
  <c r="F311" i="30"/>
  <c r="E295" i="30"/>
  <c r="F295" i="30"/>
  <c r="E279" i="30"/>
  <c r="F279" i="30"/>
  <c r="E263" i="30"/>
  <c r="F263" i="30"/>
  <c r="F440" i="30"/>
  <c r="F437" i="30"/>
  <c r="F429" i="30"/>
  <c r="F421" i="30"/>
  <c r="F413" i="30"/>
  <c r="F405" i="30"/>
  <c r="F397" i="30"/>
  <c r="F389" i="30"/>
  <c r="F381" i="30"/>
  <c r="F373" i="30"/>
  <c r="F365" i="30"/>
  <c r="F357" i="30"/>
  <c r="F349" i="30"/>
  <c r="F341" i="30"/>
  <c r="F333" i="30"/>
  <c r="F325" i="30"/>
  <c r="F317" i="30"/>
  <c r="E307" i="30"/>
  <c r="F307" i="30"/>
  <c r="E300" i="30"/>
  <c r="E291" i="30"/>
  <c r="F291" i="30"/>
  <c r="E284" i="30"/>
  <c r="E275" i="30"/>
  <c r="F275" i="30"/>
  <c r="E268" i="30"/>
  <c r="E259" i="30"/>
  <c r="F259" i="30"/>
  <c r="E283" i="30"/>
  <c r="F283" i="30"/>
  <c r="F435" i="30"/>
  <c r="E432" i="30"/>
  <c r="F427" i="30"/>
  <c r="E424" i="30"/>
  <c r="F419" i="30"/>
  <c r="E416" i="30"/>
  <c r="F411" i="30"/>
  <c r="E408" i="30"/>
  <c r="F403" i="30"/>
  <c r="E400" i="30"/>
  <c r="F395" i="30"/>
  <c r="E392" i="30"/>
  <c r="F387" i="30"/>
  <c r="E384" i="30"/>
  <c r="F379" i="30"/>
  <c r="E376" i="30"/>
  <c r="F371" i="30"/>
  <c r="E368" i="30"/>
  <c r="F363" i="30"/>
  <c r="E360" i="30"/>
  <c r="F355" i="30"/>
  <c r="E352" i="30"/>
  <c r="F347" i="30"/>
  <c r="E344" i="30"/>
  <c r="F339" i="30"/>
  <c r="E336" i="30"/>
  <c r="F331" i="30"/>
  <c r="E328" i="30"/>
  <c r="F323" i="30"/>
  <c r="E320" i="30"/>
  <c r="F315" i="30"/>
  <c r="E312" i="30"/>
  <c r="E303" i="30"/>
  <c r="F303" i="30"/>
  <c r="E296" i="30"/>
  <c r="E287" i="30"/>
  <c r="F287" i="30"/>
  <c r="E280" i="30"/>
  <c r="E271" i="30"/>
  <c r="F271" i="30"/>
  <c r="E264" i="30"/>
  <c r="E255" i="30"/>
  <c r="F255" i="30"/>
  <c r="C25" i="30"/>
  <c r="C27" i="30"/>
  <c r="C26" i="30"/>
  <c r="D19" i="29" l="1"/>
  <c r="E19" i="29" s="1"/>
  <c r="D4" i="29"/>
  <c r="E4" i="29" s="1"/>
  <c r="R101" i="17"/>
  <c r="N21" i="30"/>
  <c r="U96" i="17" s="1"/>
  <c r="N17" i="30"/>
  <c r="U92" i="17" s="1"/>
  <c r="N20" i="30"/>
  <c r="U95" i="17" s="1"/>
  <c r="N19" i="30"/>
  <c r="U94" i="17" s="1"/>
  <c r="N16" i="30"/>
  <c r="U91" i="17" s="1"/>
  <c r="N15" i="30"/>
  <c r="U90" i="17" s="1"/>
  <c r="N18" i="30"/>
  <c r="U93" i="17" s="1"/>
  <c r="D36" i="30"/>
  <c r="F36" i="30" s="1"/>
  <c r="D40" i="30"/>
  <c r="F40" i="30" s="1"/>
  <c r="D44" i="30"/>
  <c r="F44" i="30" s="1"/>
  <c r="D48" i="30"/>
  <c r="E48" i="30" s="1"/>
  <c r="D52" i="30"/>
  <c r="F52" i="30" s="1"/>
  <c r="D56" i="30"/>
  <c r="E56" i="30" s="1"/>
  <c r="D60" i="30"/>
  <c r="E60" i="30" s="1"/>
  <c r="D64" i="30"/>
  <c r="E64" i="30" s="1"/>
  <c r="D68" i="30"/>
  <c r="F68" i="30" s="1"/>
  <c r="D72" i="30"/>
  <c r="E72" i="30" s="1"/>
  <c r="D76" i="30"/>
  <c r="E76" i="30" s="1"/>
  <c r="D80" i="30"/>
  <c r="E80" i="30" s="1"/>
  <c r="D84" i="30"/>
  <c r="F84" i="30" s="1"/>
  <c r="D88" i="30"/>
  <c r="E88" i="30" s="1"/>
  <c r="D92" i="30"/>
  <c r="E92" i="30" s="1"/>
  <c r="D96" i="30"/>
  <c r="F96" i="30" s="1"/>
  <c r="D100" i="30"/>
  <c r="E100" i="30" s="1"/>
  <c r="D104" i="30"/>
  <c r="F104" i="30" s="1"/>
  <c r="D108" i="30"/>
  <c r="E108" i="30" s="1"/>
  <c r="D112" i="30"/>
  <c r="F112" i="30" s="1"/>
  <c r="D116" i="30"/>
  <c r="E116" i="30" s="1"/>
  <c r="D120" i="30"/>
  <c r="F120" i="30" s="1"/>
  <c r="D124" i="30"/>
  <c r="E124" i="30" s="1"/>
  <c r="D128" i="30"/>
  <c r="F128" i="30" s="1"/>
  <c r="D132" i="30"/>
  <c r="E132" i="30" s="1"/>
  <c r="D136" i="30"/>
  <c r="E136" i="30" s="1"/>
  <c r="D140" i="30"/>
  <c r="E140" i="30" s="1"/>
  <c r="D144" i="30"/>
  <c r="E144" i="30" s="1"/>
  <c r="D148" i="30"/>
  <c r="E148" i="30" s="1"/>
  <c r="D152" i="30"/>
  <c r="F152" i="30" s="1"/>
  <c r="D156" i="30"/>
  <c r="F156" i="30" s="1"/>
  <c r="D160" i="30"/>
  <c r="E160" i="30" s="1"/>
  <c r="D164" i="30"/>
  <c r="E164" i="30" s="1"/>
  <c r="D168" i="30"/>
  <c r="E168" i="30" s="1"/>
  <c r="D172" i="30"/>
  <c r="E172" i="30" s="1"/>
  <c r="D176" i="30"/>
  <c r="E176" i="30" s="1"/>
  <c r="D180" i="30"/>
  <c r="E180" i="30" s="1"/>
  <c r="D184" i="30"/>
  <c r="F184" i="30" s="1"/>
  <c r="D188" i="30"/>
  <c r="F188" i="30" s="1"/>
  <c r="D192" i="30"/>
  <c r="E192" i="30" s="1"/>
  <c r="D196" i="30"/>
  <c r="E196" i="30" s="1"/>
  <c r="D200" i="30"/>
  <c r="F200" i="30" s="1"/>
  <c r="D204" i="30"/>
  <c r="F204" i="30" s="1"/>
  <c r="D208" i="30"/>
  <c r="F208" i="30" s="1"/>
  <c r="D212" i="30"/>
  <c r="E212" i="30" s="1"/>
  <c r="D216" i="30"/>
  <c r="F216" i="30" s="1"/>
  <c r="D220" i="30"/>
  <c r="F220" i="30" s="1"/>
  <c r="D224" i="30"/>
  <c r="F224" i="30" s="1"/>
  <c r="D228" i="30"/>
  <c r="F228" i="30" s="1"/>
  <c r="D232" i="30"/>
  <c r="E232" i="30" s="1"/>
  <c r="D236" i="30"/>
  <c r="F236" i="30" s="1"/>
  <c r="D240" i="30"/>
  <c r="E240" i="30" s="1"/>
  <c r="D244" i="30"/>
  <c r="F244" i="30" s="1"/>
  <c r="D248" i="30"/>
  <c r="E248" i="30" s="1"/>
  <c r="D252" i="30"/>
  <c r="E252" i="30" s="1"/>
  <c r="D35" i="30"/>
  <c r="F35" i="30" s="1"/>
  <c r="D39" i="30"/>
  <c r="F39" i="30" s="1"/>
  <c r="D43" i="30"/>
  <c r="F43" i="30" s="1"/>
  <c r="D47" i="30"/>
  <c r="F47" i="30" s="1"/>
  <c r="D51" i="30"/>
  <c r="F51" i="30" s="1"/>
  <c r="D33" i="30"/>
  <c r="E33" i="30" s="1"/>
  <c r="D37" i="30"/>
  <c r="F37" i="30" s="1"/>
  <c r="D41" i="30"/>
  <c r="F41" i="30" s="1"/>
  <c r="D45" i="30"/>
  <c r="E45" i="30" s="1"/>
  <c r="D49" i="30"/>
  <c r="E49" i="30" s="1"/>
  <c r="D53" i="30"/>
  <c r="F53" i="30" s="1"/>
  <c r="D57" i="30"/>
  <c r="E57" i="30" s="1"/>
  <c r="D61" i="30"/>
  <c r="F61" i="30" s="1"/>
  <c r="D65" i="30"/>
  <c r="E65" i="30" s="1"/>
  <c r="D69" i="30"/>
  <c r="E69" i="30" s="1"/>
  <c r="D73" i="30"/>
  <c r="D77" i="30"/>
  <c r="E77" i="30" s="1"/>
  <c r="D81" i="30"/>
  <c r="E81" i="30" s="1"/>
  <c r="D85" i="30"/>
  <c r="E85" i="30" s="1"/>
  <c r="D89" i="30"/>
  <c r="E89" i="30" s="1"/>
  <c r="D93" i="30"/>
  <c r="F93" i="30" s="1"/>
  <c r="D97" i="30"/>
  <c r="E97" i="30" s="1"/>
  <c r="D101" i="30"/>
  <c r="F101" i="30" s="1"/>
  <c r="D105" i="30"/>
  <c r="E105" i="30" s="1"/>
  <c r="D109" i="30"/>
  <c r="F109" i="30" s="1"/>
  <c r="D113" i="30"/>
  <c r="E113" i="30" s="1"/>
  <c r="D117" i="30"/>
  <c r="E117" i="30" s="1"/>
  <c r="D121" i="30"/>
  <c r="E121" i="30" s="1"/>
  <c r="D125" i="30"/>
  <c r="E125" i="30" s="1"/>
  <c r="D129" i="30"/>
  <c r="E129" i="30" s="1"/>
  <c r="D133" i="30"/>
  <c r="E133" i="30" s="1"/>
  <c r="D137" i="30"/>
  <c r="F137" i="30" s="1"/>
  <c r="D141" i="30"/>
  <c r="E141" i="30" s="1"/>
  <c r="D145" i="30"/>
  <c r="F145" i="30" s="1"/>
  <c r="D149" i="30"/>
  <c r="E149" i="30" s="1"/>
  <c r="D153" i="30"/>
  <c r="E153" i="30" s="1"/>
  <c r="D157" i="30"/>
  <c r="F157" i="30" s="1"/>
  <c r="D161" i="30"/>
  <c r="E161" i="30" s="1"/>
  <c r="D165" i="30"/>
  <c r="E165" i="30" s="1"/>
  <c r="D169" i="30"/>
  <c r="E169" i="30" s="1"/>
  <c r="D173" i="30"/>
  <c r="F173" i="30" s="1"/>
  <c r="D177" i="30"/>
  <c r="E177" i="30" s="1"/>
  <c r="D181" i="30"/>
  <c r="F181" i="30" s="1"/>
  <c r="D185" i="30"/>
  <c r="E185" i="30" s="1"/>
  <c r="D189" i="30"/>
  <c r="E189" i="30" s="1"/>
  <c r="D193" i="30"/>
  <c r="F193" i="30" s="1"/>
  <c r="D197" i="30"/>
  <c r="E197" i="30" s="1"/>
  <c r="D201" i="30"/>
  <c r="F201" i="30" s="1"/>
  <c r="D205" i="30"/>
  <c r="F205" i="30" s="1"/>
  <c r="D209" i="30"/>
  <c r="F209" i="30" s="1"/>
  <c r="D213" i="30"/>
  <c r="F213" i="30" s="1"/>
  <c r="D217" i="30"/>
  <c r="E217" i="30" s="1"/>
  <c r="D221" i="30"/>
  <c r="F221" i="30" s="1"/>
  <c r="D225" i="30"/>
  <c r="F225" i="30" s="1"/>
  <c r="D229" i="30"/>
  <c r="E229" i="30" s="1"/>
  <c r="D233" i="30"/>
  <c r="E233" i="30" s="1"/>
  <c r="D237" i="30"/>
  <c r="F237" i="30" s="1"/>
  <c r="D241" i="30"/>
  <c r="F241" i="30" s="1"/>
  <c r="D245" i="30"/>
  <c r="E245" i="30" s="1"/>
  <c r="D249" i="30"/>
  <c r="F249" i="30" s="1"/>
  <c r="D55" i="30"/>
  <c r="F55" i="30" s="1"/>
  <c r="D34" i="30"/>
  <c r="F34" i="30" s="1"/>
  <c r="D38" i="30"/>
  <c r="E38" i="30" s="1"/>
  <c r="D42" i="30"/>
  <c r="F42" i="30" s="1"/>
  <c r="D46" i="30"/>
  <c r="E46" i="30" s="1"/>
  <c r="D50" i="30"/>
  <c r="F50" i="30" s="1"/>
  <c r="D54" i="30"/>
  <c r="F54" i="30" s="1"/>
  <c r="D58" i="30"/>
  <c r="E58" i="30" s="1"/>
  <c r="D62" i="30"/>
  <c r="F62" i="30" s="1"/>
  <c r="D66" i="30"/>
  <c r="E66" i="30" s="1"/>
  <c r="D70" i="30"/>
  <c r="E70" i="30" s="1"/>
  <c r="D74" i="30"/>
  <c r="F74" i="30" s="1"/>
  <c r="D78" i="30"/>
  <c r="F78" i="30" s="1"/>
  <c r="D82" i="30"/>
  <c r="E82" i="30" s="1"/>
  <c r="D86" i="30"/>
  <c r="F86" i="30" s="1"/>
  <c r="D90" i="30"/>
  <c r="E90" i="30" s="1"/>
  <c r="D94" i="30"/>
  <c r="F94" i="30" s="1"/>
  <c r="D98" i="30"/>
  <c r="E98" i="30" s="1"/>
  <c r="D102" i="30"/>
  <c r="F102" i="30" s="1"/>
  <c r="D106" i="30"/>
  <c r="E106" i="30" s="1"/>
  <c r="D110" i="30"/>
  <c r="E110" i="30" s="1"/>
  <c r="D114" i="30"/>
  <c r="E114" i="30" s="1"/>
  <c r="D118" i="30"/>
  <c r="F118" i="30" s="1"/>
  <c r="D122" i="30"/>
  <c r="E122" i="30" s="1"/>
  <c r="D126" i="30"/>
  <c r="F126" i="30" s="1"/>
  <c r="D130" i="30"/>
  <c r="E130" i="30" s="1"/>
  <c r="D134" i="30"/>
  <c r="F134" i="30" s="1"/>
  <c r="D138" i="30"/>
  <c r="E138" i="30" s="1"/>
  <c r="D142" i="30"/>
  <c r="E142" i="30" s="1"/>
  <c r="D146" i="30"/>
  <c r="F146" i="30" s="1"/>
  <c r="D150" i="30"/>
  <c r="F150" i="30" s="1"/>
  <c r="D154" i="30"/>
  <c r="E154" i="30" s="1"/>
  <c r="D158" i="30"/>
  <c r="E158" i="30" s="1"/>
  <c r="D162" i="30"/>
  <c r="F162" i="30" s="1"/>
  <c r="D166" i="30"/>
  <c r="E166" i="30" s="1"/>
  <c r="D170" i="30"/>
  <c r="E170" i="30" s="1"/>
  <c r="D174" i="30"/>
  <c r="E174" i="30" s="1"/>
  <c r="D178" i="30"/>
  <c r="E178" i="30" s="1"/>
  <c r="D182" i="30"/>
  <c r="F182" i="30" s="1"/>
  <c r="D186" i="30"/>
  <c r="E186" i="30" s="1"/>
  <c r="D190" i="30"/>
  <c r="F190" i="30" s="1"/>
  <c r="D194" i="30"/>
  <c r="F194" i="30" s="1"/>
  <c r="D198" i="30"/>
  <c r="E198" i="30" s="1"/>
  <c r="D202" i="30"/>
  <c r="F202" i="30" s="1"/>
  <c r="D206" i="30"/>
  <c r="E206" i="30" s="1"/>
  <c r="D210" i="30"/>
  <c r="E210" i="30" s="1"/>
  <c r="D214" i="30"/>
  <c r="F214" i="30" s="1"/>
  <c r="D218" i="30"/>
  <c r="F218" i="30" s="1"/>
  <c r="D222" i="30"/>
  <c r="F222" i="30" s="1"/>
  <c r="D226" i="30"/>
  <c r="E226" i="30" s="1"/>
  <c r="D230" i="30"/>
  <c r="E230" i="30" s="1"/>
  <c r="D234" i="30"/>
  <c r="F234" i="30" s="1"/>
  <c r="D238" i="30"/>
  <c r="E238" i="30" s="1"/>
  <c r="D242" i="30"/>
  <c r="E242" i="30" s="1"/>
  <c r="D246" i="30"/>
  <c r="E246" i="30" s="1"/>
  <c r="D250" i="30"/>
  <c r="E250" i="30" s="1"/>
  <c r="D71" i="30"/>
  <c r="E71" i="30" s="1"/>
  <c r="D87" i="30"/>
  <c r="F87" i="30" s="1"/>
  <c r="D103" i="30"/>
  <c r="E103" i="30" s="1"/>
  <c r="D119" i="30"/>
  <c r="E119" i="30" s="1"/>
  <c r="D135" i="30"/>
  <c r="E135" i="30" s="1"/>
  <c r="D151" i="30"/>
  <c r="E151" i="30" s="1"/>
  <c r="D167" i="30"/>
  <c r="E167" i="30" s="1"/>
  <c r="D183" i="30"/>
  <c r="E183" i="30" s="1"/>
  <c r="D199" i="30"/>
  <c r="E199" i="30" s="1"/>
  <c r="D215" i="30"/>
  <c r="E215" i="30" s="1"/>
  <c r="D231" i="30"/>
  <c r="E231" i="30" s="1"/>
  <c r="D247" i="30"/>
  <c r="E247" i="30" s="1"/>
  <c r="D59" i="30"/>
  <c r="F59" i="30" s="1"/>
  <c r="D75" i="30"/>
  <c r="E75" i="30" s="1"/>
  <c r="D91" i="30"/>
  <c r="E91" i="30" s="1"/>
  <c r="D107" i="30"/>
  <c r="E107" i="30" s="1"/>
  <c r="D123" i="30"/>
  <c r="E123" i="30" s="1"/>
  <c r="D139" i="30"/>
  <c r="E139" i="30" s="1"/>
  <c r="D155" i="30"/>
  <c r="E155" i="30" s="1"/>
  <c r="D171" i="30"/>
  <c r="E171" i="30" s="1"/>
  <c r="D187" i="30"/>
  <c r="E187" i="30" s="1"/>
  <c r="D203" i="30"/>
  <c r="E203" i="30" s="1"/>
  <c r="D219" i="30"/>
  <c r="F219" i="30" s="1"/>
  <c r="D235" i="30"/>
  <c r="E235" i="30" s="1"/>
  <c r="D251" i="30"/>
  <c r="E251" i="30" s="1"/>
  <c r="D67" i="30"/>
  <c r="E67" i="30" s="1"/>
  <c r="D83" i="30"/>
  <c r="F83" i="30" s="1"/>
  <c r="D99" i="30"/>
  <c r="F99" i="30" s="1"/>
  <c r="D115" i="30"/>
  <c r="E115" i="30" s="1"/>
  <c r="D131" i="30"/>
  <c r="F131" i="30" s="1"/>
  <c r="D147" i="30"/>
  <c r="E147" i="30" s="1"/>
  <c r="D163" i="30"/>
  <c r="E163" i="30" s="1"/>
  <c r="D179" i="30"/>
  <c r="E179" i="30" s="1"/>
  <c r="D195" i="30"/>
  <c r="E195" i="30" s="1"/>
  <c r="D211" i="30"/>
  <c r="F211" i="30" s="1"/>
  <c r="D227" i="30"/>
  <c r="E227" i="30" s="1"/>
  <c r="D243" i="30"/>
  <c r="F243" i="30" s="1"/>
  <c r="D63" i="30"/>
  <c r="F63" i="30" s="1"/>
  <c r="D79" i="30"/>
  <c r="E79" i="30" s="1"/>
  <c r="D95" i="30"/>
  <c r="F95" i="30" s="1"/>
  <c r="D111" i="30"/>
  <c r="F111" i="30" s="1"/>
  <c r="D127" i="30"/>
  <c r="F127" i="30" s="1"/>
  <c r="D143" i="30"/>
  <c r="F143" i="30" s="1"/>
  <c r="D159" i="30"/>
  <c r="E159" i="30" s="1"/>
  <c r="D175" i="30"/>
  <c r="E175" i="30" s="1"/>
  <c r="D191" i="30"/>
  <c r="F191" i="30" s="1"/>
  <c r="D207" i="30"/>
  <c r="E207" i="30" s="1"/>
  <c r="D223" i="30"/>
  <c r="E223" i="30" s="1"/>
  <c r="D239" i="30"/>
  <c r="F239" i="30" s="1"/>
  <c r="D23" i="29"/>
  <c r="E23" i="29" s="1"/>
  <c r="D312" i="29"/>
  <c r="E312" i="29" s="1"/>
  <c r="D21" i="29"/>
  <c r="E21" i="29" s="1"/>
  <c r="D6" i="29"/>
  <c r="E6" i="29" s="1"/>
  <c r="D28" i="29"/>
  <c r="E28" i="29" s="1"/>
  <c r="D317" i="29"/>
  <c r="F317" i="29" s="1"/>
  <c r="D318" i="29"/>
  <c r="F318" i="29" s="1"/>
  <c r="D275" i="29"/>
  <c r="D344" i="29"/>
  <c r="D264" i="29"/>
  <c r="E264" i="29" s="1"/>
  <c r="D73" i="29"/>
  <c r="E73" i="29" s="1"/>
  <c r="D281" i="29"/>
  <c r="E281" i="29" s="1"/>
  <c r="D365" i="29"/>
  <c r="E365" i="29" s="1"/>
  <c r="D254" i="29"/>
  <c r="E254" i="29" s="1"/>
  <c r="D331" i="29"/>
  <c r="F331" i="29" s="1"/>
  <c r="D25" i="29"/>
  <c r="D301" i="29"/>
  <c r="F301" i="29" s="1"/>
  <c r="D345" i="29"/>
  <c r="E345" i="29" s="1"/>
  <c r="D26" i="29"/>
  <c r="F26" i="29" s="1"/>
  <c r="D294" i="29"/>
  <c r="D342" i="29"/>
  <c r="D311" i="29"/>
  <c r="F311" i="29" s="1"/>
  <c r="D359" i="29"/>
  <c r="F359" i="29" s="1"/>
  <c r="D12" i="29"/>
  <c r="D272" i="29"/>
  <c r="D280" i="29"/>
  <c r="F280" i="29" s="1"/>
  <c r="D285" i="29"/>
  <c r="E285" i="29" s="1"/>
  <c r="D333" i="29"/>
  <c r="F333" i="29" s="1"/>
  <c r="D278" i="29"/>
  <c r="F278" i="29" s="1"/>
  <c r="D334" i="29"/>
  <c r="F334" i="29" s="1"/>
  <c r="D291" i="29"/>
  <c r="D355" i="29"/>
  <c r="D296" i="29"/>
  <c r="D356" i="29"/>
  <c r="E356" i="29" s="1"/>
  <c r="D269" i="29"/>
  <c r="D313" i="29"/>
  <c r="D349" i="29"/>
  <c r="D30" i="29"/>
  <c r="E30" i="29" s="1"/>
  <c r="D298" i="29"/>
  <c r="E298" i="29" s="1"/>
  <c r="D362" i="29"/>
  <c r="E362" i="29" s="1"/>
  <c r="D267" i="29"/>
  <c r="D315" i="29"/>
  <c r="E315" i="29" s="1"/>
  <c r="D364" i="29"/>
  <c r="D32" i="29"/>
  <c r="D304" i="29"/>
  <c r="E304" i="29" s="1"/>
  <c r="D216" i="29"/>
  <c r="F216" i="29" s="1"/>
  <c r="D235" i="29"/>
  <c r="F235" i="29" s="1"/>
  <c r="D191" i="29"/>
  <c r="D151" i="29"/>
  <c r="D107" i="29"/>
  <c r="E107" i="29" s="1"/>
  <c r="D63" i="29"/>
  <c r="D232" i="29"/>
  <c r="E232" i="29" s="1"/>
  <c r="D116" i="29"/>
  <c r="D44" i="29"/>
  <c r="E44" i="29" s="1"/>
  <c r="D218" i="29"/>
  <c r="E218" i="29" s="1"/>
  <c r="D174" i="29"/>
  <c r="D94" i="29"/>
  <c r="D188" i="29"/>
  <c r="F188" i="29" s="1"/>
  <c r="D221" i="29"/>
  <c r="E221" i="29" s="1"/>
  <c r="D137" i="29"/>
  <c r="E137" i="29" s="1"/>
  <c r="D53" i="29"/>
  <c r="D37" i="29"/>
  <c r="F37" i="29" s="1"/>
  <c r="D168" i="29"/>
  <c r="D219" i="29"/>
  <c r="D175" i="29"/>
  <c r="D135" i="29"/>
  <c r="E135" i="29" s="1"/>
  <c r="D91" i="29"/>
  <c r="F91" i="29" s="1"/>
  <c r="D47" i="29"/>
  <c r="D184" i="29"/>
  <c r="F184" i="29" s="1"/>
  <c r="D88" i="29"/>
  <c r="E88" i="29" s="1"/>
  <c r="D242" i="29"/>
  <c r="E242" i="29" s="1"/>
  <c r="D202" i="29"/>
  <c r="F202" i="29" s="1"/>
  <c r="D158" i="29"/>
  <c r="D74" i="29"/>
  <c r="E74" i="29" s="1"/>
  <c r="D120" i="29"/>
  <c r="D201" i="29"/>
  <c r="E201" i="29" s="1"/>
  <c r="D117" i="29"/>
  <c r="F117" i="29" s="1"/>
  <c r="D9" i="29"/>
  <c r="F9" i="29" s="1"/>
  <c r="D29" i="29"/>
  <c r="E29" i="29" s="1"/>
  <c r="D10" i="29"/>
  <c r="E10" i="29" s="1"/>
  <c r="D11" i="29"/>
  <c r="D8" i="29"/>
  <c r="E8" i="29" s="1"/>
  <c r="D136" i="29"/>
  <c r="D215" i="29"/>
  <c r="D171" i="29"/>
  <c r="F171" i="29" s="1"/>
  <c r="D127" i="29"/>
  <c r="E127" i="29" s="1"/>
  <c r="D87" i="29"/>
  <c r="D43" i="29"/>
  <c r="D160" i="29"/>
  <c r="D84" i="29"/>
  <c r="F84" i="29" s="1"/>
  <c r="D238" i="29"/>
  <c r="F238" i="29" s="1"/>
  <c r="D194" i="29"/>
  <c r="D138" i="29"/>
  <c r="D50" i="29"/>
  <c r="E50" i="29" s="1"/>
  <c r="D68" i="29"/>
  <c r="F68" i="29" s="1"/>
  <c r="D181" i="29"/>
  <c r="E181" i="29" s="1"/>
  <c r="D93" i="29"/>
  <c r="F93" i="29" s="1"/>
  <c r="D13" i="29"/>
  <c r="E13" i="29" s="1"/>
  <c r="D265" i="29"/>
  <c r="D297" i="29"/>
  <c r="D329" i="29"/>
  <c r="F329" i="29" s="1"/>
  <c r="D361" i="29"/>
  <c r="F361" i="29" s="1"/>
  <c r="D14" i="29"/>
  <c r="D270" i="29"/>
  <c r="D314" i="29"/>
  <c r="F314" i="29" s="1"/>
  <c r="D358" i="29"/>
  <c r="F358" i="29" s="1"/>
  <c r="D295" i="29"/>
  <c r="D339" i="29"/>
  <c r="D253" i="29"/>
  <c r="D352" i="29"/>
  <c r="E352" i="29" s="1"/>
  <c r="D324" i="29"/>
  <c r="E324" i="29" s="1"/>
  <c r="D228" i="29"/>
  <c r="D239" i="29"/>
  <c r="D199" i="29"/>
  <c r="F199" i="29" s="1"/>
  <c r="D155" i="29"/>
  <c r="E155" i="29" s="1"/>
  <c r="D111" i="29"/>
  <c r="D71" i="29"/>
  <c r="D240" i="29"/>
  <c r="F240" i="29" s="1"/>
  <c r="D124" i="29"/>
  <c r="E124" i="29" s="1"/>
  <c r="D56" i="29"/>
  <c r="F56" i="29" s="1"/>
  <c r="D222" i="29"/>
  <c r="D178" i="29"/>
  <c r="E178" i="29" s="1"/>
  <c r="D114" i="29"/>
  <c r="F114" i="29" s="1"/>
  <c r="D248" i="29"/>
  <c r="F248" i="29" s="1"/>
  <c r="D245" i="29"/>
  <c r="D157" i="29"/>
  <c r="F157" i="29" s="1"/>
  <c r="D5" i="29"/>
  <c r="F5" i="29" s="1"/>
  <c r="D33" i="29"/>
  <c r="F33" i="29" s="1"/>
  <c r="D368" i="29"/>
  <c r="D360" i="29"/>
  <c r="F360" i="29" s="1"/>
  <c r="D372" i="29"/>
  <c r="E372" i="29" s="1"/>
  <c r="D292" i="29"/>
  <c r="D340" i="29"/>
  <c r="E340" i="29" s="1"/>
  <c r="D288" i="29"/>
  <c r="F288" i="29" s="1"/>
  <c r="D336" i="29"/>
  <c r="E336" i="29" s="1"/>
  <c r="D284" i="29"/>
  <c r="D332" i="29"/>
  <c r="F332" i="29" s="1"/>
  <c r="D367" i="29"/>
  <c r="F367" i="29" s="1"/>
  <c r="D351" i="29"/>
  <c r="E351" i="29" s="1"/>
  <c r="D335" i="29"/>
  <c r="D319" i="29"/>
  <c r="F319" i="29" s="1"/>
  <c r="D303" i="29"/>
  <c r="F303" i="29" s="1"/>
  <c r="D287" i="29"/>
  <c r="E287" i="29" s="1"/>
  <c r="D271" i="29"/>
  <c r="E271" i="29" s="1"/>
  <c r="D255" i="29"/>
  <c r="F255" i="29" s="1"/>
  <c r="D370" i="29"/>
  <c r="F370" i="29" s="1"/>
  <c r="D354" i="29"/>
  <c r="F354" i="29" s="1"/>
  <c r="D338" i="29"/>
  <c r="E338" i="29" s="1"/>
  <c r="D322" i="29"/>
  <c r="D306" i="29"/>
  <c r="E306" i="29" s="1"/>
  <c r="D290" i="29"/>
  <c r="E290" i="29" s="1"/>
  <c r="D274" i="29"/>
  <c r="D258" i="29"/>
  <c r="D17" i="29"/>
  <c r="E17" i="29" s="1"/>
  <c r="D257" i="29"/>
  <c r="E257" i="29" s="1"/>
  <c r="D273" i="29"/>
  <c r="F273" i="29" s="1"/>
  <c r="D289" i="29"/>
  <c r="E289" i="29" s="1"/>
  <c r="D305" i="29"/>
  <c r="E305" i="29" s="1"/>
  <c r="D321" i="29"/>
  <c r="F321" i="29" s="1"/>
  <c r="D337" i="29"/>
  <c r="D353" i="29"/>
  <c r="D369" i="29"/>
  <c r="E369" i="29" s="1"/>
  <c r="D18" i="29"/>
  <c r="E18" i="29" s="1"/>
  <c r="D262" i="29"/>
  <c r="E262" i="29" s="1"/>
  <c r="D282" i="29"/>
  <c r="F282" i="29" s="1"/>
  <c r="D302" i="29"/>
  <c r="E302" i="29" s="1"/>
  <c r="D326" i="29"/>
  <c r="F326" i="29" s="1"/>
  <c r="D346" i="29"/>
  <c r="F346" i="29" s="1"/>
  <c r="D366" i="29"/>
  <c r="D259" i="29"/>
  <c r="F259" i="29" s="1"/>
  <c r="D279" i="29"/>
  <c r="F279" i="29" s="1"/>
  <c r="D299" i="29"/>
  <c r="F299" i="29" s="1"/>
  <c r="D323" i="29"/>
  <c r="D343" i="29"/>
  <c r="E343" i="29" s="1"/>
  <c r="D363" i="29"/>
  <c r="E363" i="29" s="1"/>
  <c r="D27" i="29"/>
  <c r="D7" i="29"/>
  <c r="D24" i="29"/>
  <c r="E24" i="29" s="1"/>
  <c r="D320" i="29"/>
  <c r="E320" i="29" s="1"/>
  <c r="D260" i="29"/>
  <c r="E260" i="29" s="1"/>
  <c r="D300" i="29"/>
  <c r="D328" i="29"/>
  <c r="F328" i="29" s="1"/>
  <c r="D268" i="29"/>
  <c r="E268" i="29" s="1"/>
  <c r="D192" i="29"/>
  <c r="E192" i="29" s="1"/>
  <c r="D251" i="29"/>
  <c r="D231" i="29"/>
  <c r="E231" i="29" s="1"/>
  <c r="D207" i="29"/>
  <c r="E207" i="29" s="1"/>
  <c r="D187" i="29"/>
  <c r="D167" i="29"/>
  <c r="E167" i="29" s="1"/>
  <c r="D143" i="29"/>
  <c r="F143" i="29" s="1"/>
  <c r="D123" i="29"/>
  <c r="F123" i="29" s="1"/>
  <c r="D103" i="29"/>
  <c r="D79" i="29"/>
  <c r="F79" i="29" s="1"/>
  <c r="D59" i="29"/>
  <c r="E59" i="29" s="1"/>
  <c r="D39" i="29"/>
  <c r="E39" i="29" s="1"/>
  <c r="D212" i="29"/>
  <c r="F212" i="29" s="1"/>
  <c r="D148" i="29"/>
  <c r="D108" i="29"/>
  <c r="F108" i="29" s="1"/>
  <c r="D72" i="29"/>
  <c r="E72" i="29" s="1"/>
  <c r="D36" i="29"/>
  <c r="D234" i="29"/>
  <c r="E234" i="29" s="1"/>
  <c r="D210" i="29"/>
  <c r="E210" i="29" s="1"/>
  <c r="D190" i="29"/>
  <c r="D170" i="29"/>
  <c r="E170" i="29" s="1"/>
  <c r="D146" i="29"/>
  <c r="D126" i="29"/>
  <c r="E126" i="29" s="1"/>
  <c r="D106" i="29"/>
  <c r="E106" i="29" s="1"/>
  <c r="D82" i="29"/>
  <c r="E82" i="29" s="1"/>
  <c r="D62" i="29"/>
  <c r="F62" i="29" s="1"/>
  <c r="D42" i="29"/>
  <c r="F42" i="29" s="1"/>
  <c r="D208" i="29"/>
  <c r="E208" i="29" s="1"/>
  <c r="D156" i="29"/>
  <c r="F156" i="29" s="1"/>
  <c r="D100" i="29"/>
  <c r="D40" i="29"/>
  <c r="E40" i="29" s="1"/>
  <c r="D233" i="29"/>
  <c r="E233" i="29" s="1"/>
  <c r="D213" i="29"/>
  <c r="D189" i="29"/>
  <c r="F189" i="29" s="1"/>
  <c r="D169" i="29"/>
  <c r="E169" i="29" s="1"/>
  <c r="D149" i="29"/>
  <c r="E149" i="29" s="1"/>
  <c r="D125" i="29"/>
  <c r="E125" i="29" s="1"/>
  <c r="D105" i="29"/>
  <c r="E105" i="29" s="1"/>
  <c r="D85" i="29"/>
  <c r="E85" i="29" s="1"/>
  <c r="D61" i="29"/>
  <c r="E61" i="29" s="1"/>
  <c r="D41" i="29"/>
  <c r="E41" i="29" s="1"/>
  <c r="D154" i="29"/>
  <c r="D130" i="29"/>
  <c r="E130" i="29" s="1"/>
  <c r="D110" i="29"/>
  <c r="F110" i="29" s="1"/>
  <c r="D90" i="29"/>
  <c r="F90" i="29" s="1"/>
  <c r="D66" i="29"/>
  <c r="D46" i="29"/>
  <c r="F46" i="29" s="1"/>
  <c r="D236" i="29"/>
  <c r="F236" i="29" s="1"/>
  <c r="D164" i="29"/>
  <c r="D112" i="29"/>
  <c r="F112" i="29" s="1"/>
  <c r="D60" i="29"/>
  <c r="F60" i="29" s="1"/>
  <c r="D237" i="29"/>
  <c r="F237" i="29" s="1"/>
  <c r="D217" i="29"/>
  <c r="E217" i="29" s="1"/>
  <c r="D197" i="29"/>
  <c r="D173" i="29"/>
  <c r="E173" i="29" s="1"/>
  <c r="D153" i="29"/>
  <c r="E153" i="29" s="1"/>
  <c r="D133" i="29"/>
  <c r="F133" i="29" s="1"/>
  <c r="D109" i="29"/>
  <c r="D89" i="29"/>
  <c r="E89" i="29" s="1"/>
  <c r="D69" i="29"/>
  <c r="F69" i="29" s="1"/>
  <c r="D45" i="29"/>
  <c r="F45" i="29" s="1"/>
  <c r="D261" i="29"/>
  <c r="D277" i="29"/>
  <c r="E277" i="29" s="1"/>
  <c r="D293" i="29"/>
  <c r="E293" i="29" s="1"/>
  <c r="D309" i="29"/>
  <c r="D325" i="29"/>
  <c r="E325" i="29" s="1"/>
  <c r="D341" i="29"/>
  <c r="E341" i="29" s="1"/>
  <c r="D357" i="29"/>
  <c r="E357" i="29" s="1"/>
  <c r="D266" i="29"/>
  <c r="D286" i="29"/>
  <c r="D310" i="29"/>
  <c r="E310" i="29" s="1"/>
  <c r="D330" i="29"/>
  <c r="F330" i="29" s="1"/>
  <c r="D350" i="29"/>
  <c r="D263" i="29"/>
  <c r="D283" i="29"/>
  <c r="E283" i="29" s="1"/>
  <c r="D307" i="29"/>
  <c r="F307" i="29" s="1"/>
  <c r="D327" i="29"/>
  <c r="E327" i="29" s="1"/>
  <c r="D347" i="29"/>
  <c r="D371" i="29"/>
  <c r="E371" i="29" s="1"/>
  <c r="D308" i="29"/>
  <c r="E308" i="29" s="1"/>
  <c r="D348" i="29"/>
  <c r="F348" i="29" s="1"/>
  <c r="D276" i="29"/>
  <c r="D316" i="29"/>
  <c r="F316" i="29" s="1"/>
  <c r="D256" i="29"/>
  <c r="E256" i="29" s="1"/>
  <c r="D244" i="29"/>
  <c r="D180" i="29"/>
  <c r="F180" i="29" s="1"/>
  <c r="D247" i="29"/>
  <c r="E247" i="29" s="1"/>
  <c r="D223" i="29"/>
  <c r="E223" i="29" s="1"/>
  <c r="D203" i="29"/>
  <c r="E203" i="29" s="1"/>
  <c r="D183" i="29"/>
  <c r="E183" i="29" s="1"/>
  <c r="D159" i="29"/>
  <c r="E159" i="29" s="1"/>
  <c r="D139" i="29"/>
  <c r="E139" i="29" s="1"/>
  <c r="D119" i="29"/>
  <c r="D95" i="29"/>
  <c r="D75" i="29"/>
  <c r="E75" i="29" s="1"/>
  <c r="D55" i="29"/>
  <c r="E55" i="29" s="1"/>
  <c r="D252" i="29"/>
  <c r="F252" i="29" s="1"/>
  <c r="D196" i="29"/>
  <c r="E196" i="29" s="1"/>
  <c r="D140" i="29"/>
  <c r="F140" i="29" s="1"/>
  <c r="D96" i="29"/>
  <c r="F96" i="29" s="1"/>
  <c r="D64" i="29"/>
  <c r="D250" i="29"/>
  <c r="F250" i="29" s="1"/>
  <c r="D226" i="29"/>
  <c r="E226" i="29" s="1"/>
  <c r="D206" i="29"/>
  <c r="F206" i="29" s="1"/>
  <c r="D186" i="29"/>
  <c r="D162" i="29"/>
  <c r="D142" i="29"/>
  <c r="E142" i="29" s="1"/>
  <c r="D122" i="29"/>
  <c r="E122" i="29" s="1"/>
  <c r="D98" i="29"/>
  <c r="F98" i="29" s="1"/>
  <c r="D78" i="29"/>
  <c r="D58" i="29"/>
  <c r="F58" i="29" s="1"/>
  <c r="D34" i="29"/>
  <c r="F34" i="29" s="1"/>
  <c r="D200" i="29"/>
  <c r="D144" i="29"/>
  <c r="F144" i="29" s="1"/>
  <c r="D80" i="29"/>
  <c r="E80" i="29" s="1"/>
  <c r="D249" i="29"/>
  <c r="F249" i="29" s="1"/>
  <c r="D229" i="29"/>
  <c r="D205" i="29"/>
  <c r="D185" i="29"/>
  <c r="F185" i="29" s="1"/>
  <c r="D165" i="29"/>
  <c r="E165" i="29" s="1"/>
  <c r="D141" i="29"/>
  <c r="D121" i="29"/>
  <c r="F121" i="29" s="1"/>
  <c r="D101" i="29"/>
  <c r="E101" i="29" s="1"/>
  <c r="D77" i="29"/>
  <c r="F77" i="29" s="1"/>
  <c r="D57" i="29"/>
  <c r="F57" i="29" s="1"/>
  <c r="D16" i="29"/>
  <c r="D20" i="29"/>
  <c r="E20" i="29" s="1"/>
  <c r="D15" i="29"/>
  <c r="E15" i="29" s="1"/>
  <c r="D31" i="29"/>
  <c r="D22" i="29"/>
  <c r="D204" i="29"/>
  <c r="E204" i="29" s="1"/>
  <c r="D152" i="29"/>
  <c r="E152" i="29" s="1"/>
  <c r="D243" i="29"/>
  <c r="E243" i="29" s="1"/>
  <c r="D227" i="29"/>
  <c r="D211" i="29"/>
  <c r="E211" i="29" s="1"/>
  <c r="D195" i="29"/>
  <c r="F195" i="29" s="1"/>
  <c r="D179" i="29"/>
  <c r="D163" i="29"/>
  <c r="F163" i="29" s="1"/>
  <c r="D147" i="29"/>
  <c r="E147" i="29" s="1"/>
  <c r="D131" i="29"/>
  <c r="F131" i="29" s="1"/>
  <c r="D115" i="29"/>
  <c r="D99" i="29"/>
  <c r="D83" i="29"/>
  <c r="E83" i="29" s="1"/>
  <c r="D67" i="29"/>
  <c r="F67" i="29" s="1"/>
  <c r="D51" i="29"/>
  <c r="D35" i="29"/>
  <c r="D220" i="29"/>
  <c r="E220" i="29" s="1"/>
  <c r="D172" i="29"/>
  <c r="F172" i="29" s="1"/>
  <c r="D132" i="29"/>
  <c r="E132" i="29" s="1"/>
  <c r="D104" i="29"/>
  <c r="D76" i="29"/>
  <c r="E76" i="29" s="1"/>
  <c r="D48" i="29"/>
  <c r="E48" i="29" s="1"/>
  <c r="D246" i="29"/>
  <c r="F246" i="29" s="1"/>
  <c r="D230" i="29"/>
  <c r="D214" i="29"/>
  <c r="F214" i="29" s="1"/>
  <c r="D198" i="29"/>
  <c r="E198" i="29" s="1"/>
  <c r="D182" i="29"/>
  <c r="D166" i="29"/>
  <c r="F166" i="29" s="1"/>
  <c r="D150" i="29"/>
  <c r="E150" i="29" s="1"/>
  <c r="D134" i="29"/>
  <c r="E134" i="29" s="1"/>
  <c r="D118" i="29"/>
  <c r="D102" i="29"/>
  <c r="E102" i="29" s="1"/>
  <c r="D86" i="29"/>
  <c r="F86" i="29" s="1"/>
  <c r="D70" i="29"/>
  <c r="E70" i="29" s="1"/>
  <c r="D54" i="29"/>
  <c r="D38" i="29"/>
  <c r="D224" i="29"/>
  <c r="E224" i="29" s="1"/>
  <c r="D176" i="29"/>
  <c r="E176" i="29" s="1"/>
  <c r="D128" i="29"/>
  <c r="D92" i="29"/>
  <c r="D52" i="29"/>
  <c r="F52" i="29" s="1"/>
  <c r="D241" i="29"/>
  <c r="E241" i="29" s="1"/>
  <c r="D225" i="29"/>
  <c r="F225" i="29" s="1"/>
  <c r="D209" i="29"/>
  <c r="D193" i="29"/>
  <c r="F193" i="29" s="1"/>
  <c r="D177" i="29"/>
  <c r="E177" i="29" s="1"/>
  <c r="D161" i="29"/>
  <c r="D145" i="29"/>
  <c r="E145" i="29" s="1"/>
  <c r="D129" i="29"/>
  <c r="E129" i="29" s="1"/>
  <c r="D113" i="29"/>
  <c r="E113" i="29" s="1"/>
  <c r="D97" i="29"/>
  <c r="F97" i="29" s="1"/>
  <c r="D81" i="29"/>
  <c r="F81" i="29" s="1"/>
  <c r="D65" i="29"/>
  <c r="E65" i="29" s="1"/>
  <c r="D49" i="29"/>
  <c r="E49" i="29" s="1"/>
  <c r="E318" i="29"/>
  <c r="E331" i="29"/>
  <c r="F39" i="29"/>
  <c r="F234" i="29"/>
  <c r="F21" i="29"/>
  <c r="F290" i="29"/>
  <c r="F287" i="29"/>
  <c r="F336" i="29"/>
  <c r="F372" i="29"/>
  <c r="F363" i="29"/>
  <c r="E87" i="29"/>
  <c r="F87" i="29"/>
  <c r="F55" i="29"/>
  <c r="E265" i="29"/>
  <c r="F265" i="29"/>
  <c r="E26" i="29"/>
  <c r="E326" i="29"/>
  <c r="F291" i="29"/>
  <c r="E291" i="29"/>
  <c r="F324" i="29"/>
  <c r="E136" i="29"/>
  <c r="F136" i="29"/>
  <c r="E63" i="29"/>
  <c r="F63" i="29"/>
  <c r="F124" i="29"/>
  <c r="F72" i="29"/>
  <c r="F242" i="29"/>
  <c r="E114" i="29"/>
  <c r="F208" i="29"/>
  <c r="E120" i="29"/>
  <c r="F120" i="29"/>
  <c r="F221" i="29"/>
  <c r="E77" i="29"/>
  <c r="E321" i="29"/>
  <c r="F19" i="29"/>
  <c r="E168" i="29"/>
  <c r="F168" i="29"/>
  <c r="F29" i="29"/>
  <c r="E269" i="29"/>
  <c r="F269" i="29"/>
  <c r="E14" i="29"/>
  <c r="F14" i="29"/>
  <c r="F298" i="29"/>
  <c r="E279" i="29"/>
  <c r="E295" i="29"/>
  <c r="F295" i="29"/>
  <c r="E364" i="29"/>
  <c r="F364" i="29"/>
  <c r="F268" i="29"/>
  <c r="E235" i="29"/>
  <c r="F155" i="29"/>
  <c r="F139" i="29"/>
  <c r="E123" i="29"/>
  <c r="E91" i="29"/>
  <c r="E238" i="29"/>
  <c r="E190" i="29"/>
  <c r="F190" i="29"/>
  <c r="E110" i="29"/>
  <c r="E68" i="29"/>
  <c r="E249" i="29"/>
  <c r="F233" i="29"/>
  <c r="F153" i="29"/>
  <c r="F73" i="29"/>
  <c r="F235" i="30"/>
  <c r="F98" i="30"/>
  <c r="F226" i="30"/>
  <c r="F159" i="30"/>
  <c r="F140" i="30"/>
  <c r="F223" i="30"/>
  <c r="E156" i="30"/>
  <c r="F76" i="30"/>
  <c r="E34" i="30"/>
  <c r="E104" i="30"/>
  <c r="F139" i="30"/>
  <c r="F92" i="30"/>
  <c r="E63" i="30"/>
  <c r="E47" i="30"/>
  <c r="F89" i="30"/>
  <c r="E86" i="30"/>
  <c r="E41" i="30"/>
  <c r="F124" i="30"/>
  <c r="F60" i="30"/>
  <c r="F185" i="30"/>
  <c r="F192" i="30"/>
  <c r="E118" i="30"/>
  <c r="E42" i="30"/>
  <c r="E184" i="30"/>
  <c r="F172" i="30"/>
  <c r="F58" i="30"/>
  <c r="F108" i="30"/>
  <c r="E44" i="30"/>
  <c r="E234" i="30"/>
  <c r="E37" i="30"/>
  <c r="E236" i="30"/>
  <c r="F138" i="30"/>
  <c r="F154" i="30"/>
  <c r="E173" i="30"/>
  <c r="F195" i="30"/>
  <c r="F136" i="30"/>
  <c r="E55" i="30"/>
  <c r="F82" i="30"/>
  <c r="E204" i="30"/>
  <c r="F148" i="30"/>
  <c r="F129" i="30"/>
  <c r="E188" i="30"/>
  <c r="E194" i="30"/>
  <c r="F217" i="30"/>
  <c r="E39" i="30"/>
  <c r="E182" i="30"/>
  <c r="F165" i="30"/>
  <c r="F113" i="30"/>
  <c r="F73" i="30"/>
  <c r="E73" i="30"/>
  <c r="F183" i="30"/>
  <c r="F153" i="30"/>
  <c r="F107" i="30"/>
  <c r="F57" i="30"/>
  <c r="F105" i="30"/>
  <c r="E53" i="30"/>
  <c r="F163" i="30"/>
  <c r="F186" i="30"/>
  <c r="F85" i="30"/>
  <c r="E157" i="30" l="1"/>
  <c r="F238" i="30"/>
  <c r="E61" i="30"/>
  <c r="E109" i="30"/>
  <c r="E249" i="30"/>
  <c r="F169" i="30"/>
  <c r="E224" i="30"/>
  <c r="F122" i="30"/>
  <c r="F233" i="30"/>
  <c r="E95" i="30"/>
  <c r="E101" i="30"/>
  <c r="E239" i="30"/>
  <c r="F72" i="30"/>
  <c r="E359" i="29"/>
  <c r="E330" i="29"/>
  <c r="F285" i="29"/>
  <c r="E69" i="29"/>
  <c r="E96" i="29"/>
  <c r="F207" i="29"/>
  <c r="F320" i="29"/>
  <c r="F218" i="29"/>
  <c r="E5" i="29"/>
  <c r="F351" i="29"/>
  <c r="F144" i="30"/>
  <c r="E237" i="30"/>
  <c r="F123" i="30"/>
  <c r="F142" i="30"/>
  <c r="E96" i="30"/>
  <c r="E205" i="30"/>
  <c r="F240" i="30"/>
  <c r="E208" i="30"/>
  <c r="F45" i="30"/>
  <c r="F77" i="30"/>
  <c r="E93" i="30"/>
  <c r="F48" i="30"/>
  <c r="F199" i="30"/>
  <c r="F110" i="30"/>
  <c r="E221" i="30"/>
  <c r="F141" i="30"/>
  <c r="E54" i="30"/>
  <c r="F174" i="30"/>
  <c r="E59" i="30"/>
  <c r="E190" i="30"/>
  <c r="F71" i="30"/>
  <c r="F103" i="30"/>
  <c r="E51" i="30"/>
  <c r="F160" i="30"/>
  <c r="F176" i="30"/>
  <c r="F189" i="30"/>
  <c r="E128" i="30"/>
  <c r="F80" i="30"/>
  <c r="F251" i="30"/>
  <c r="E43" i="30"/>
  <c r="E134" i="30"/>
  <c r="F197" i="30"/>
  <c r="F117" i="30"/>
  <c r="F56" i="30"/>
  <c r="E211" i="30"/>
  <c r="E102" i="30"/>
  <c r="F149" i="30"/>
  <c r="F133" i="30"/>
  <c r="E219" i="30"/>
  <c r="E152" i="30"/>
  <c r="F230" i="30"/>
  <c r="E150" i="30"/>
  <c r="F70" i="30"/>
  <c r="F166" i="30"/>
  <c r="F229" i="30"/>
  <c r="F248" i="30"/>
  <c r="E120" i="30"/>
  <c r="E214" i="30"/>
  <c r="F79" i="30"/>
  <c r="F91" i="30"/>
  <c r="E213" i="30"/>
  <c r="F168" i="30"/>
  <c r="F232" i="30"/>
  <c r="E40" i="30"/>
  <c r="F69" i="30"/>
  <c r="F38" i="30"/>
  <c r="F198" i="30"/>
  <c r="F167" i="30"/>
  <c r="E200" i="30"/>
  <c r="F147" i="30"/>
  <c r="E83" i="30"/>
  <c r="F245" i="30"/>
  <c r="F207" i="30"/>
  <c r="E216" i="30"/>
  <c r="F88" i="30"/>
  <c r="E181" i="30"/>
  <c r="E206" i="29"/>
  <c r="F61" i="29"/>
  <c r="E237" i="29"/>
  <c r="E34" i="29"/>
  <c r="F10" i="29"/>
  <c r="E354" i="29"/>
  <c r="E236" i="29"/>
  <c r="F4" i="29"/>
  <c r="F356" i="29"/>
  <c r="F308" i="29"/>
  <c r="F256" i="29"/>
  <c r="E79" i="29"/>
  <c r="E307" i="29"/>
  <c r="E319" i="29"/>
  <c r="E62" i="29"/>
  <c r="F23" i="29"/>
  <c r="F243" i="29"/>
  <c r="E56" i="29"/>
  <c r="F137" i="29"/>
  <c r="E248" i="29"/>
  <c r="E185" i="29"/>
  <c r="F254" i="29"/>
  <c r="E193" i="29"/>
  <c r="F89" i="29"/>
  <c r="E93" i="29"/>
  <c r="F211" i="29"/>
  <c r="E240" i="29"/>
  <c r="F107" i="29"/>
  <c r="F135" i="29"/>
  <c r="F178" i="29"/>
  <c r="F44" i="29"/>
  <c r="E143" i="29"/>
  <c r="E140" i="29"/>
  <c r="E37" i="29"/>
  <c r="F247" i="29"/>
  <c r="E86" i="29"/>
  <c r="E288" i="29"/>
  <c r="F101" i="29"/>
  <c r="E199" i="29"/>
  <c r="F75" i="29"/>
  <c r="E157" i="29"/>
  <c r="F80" i="29"/>
  <c r="F226" i="29"/>
  <c r="E280" i="29"/>
  <c r="F371" i="29"/>
  <c r="E278" i="29"/>
  <c r="E361" i="29"/>
  <c r="E42" i="29"/>
  <c r="F315" i="29"/>
  <c r="F76" i="29"/>
  <c r="E360" i="29"/>
  <c r="E303" i="29"/>
  <c r="F341" i="29"/>
  <c r="E108" i="29"/>
  <c r="E216" i="29"/>
  <c r="E46" i="29"/>
  <c r="F126" i="29"/>
  <c r="F264" i="29"/>
  <c r="E311" i="29"/>
  <c r="E282" i="29"/>
  <c r="E299" i="29"/>
  <c r="E334" i="29"/>
  <c r="F83" i="29"/>
  <c r="E367" i="29"/>
  <c r="E58" i="29"/>
  <c r="E184" i="29"/>
  <c r="F352" i="29"/>
  <c r="F13" i="29"/>
  <c r="E358" i="29"/>
  <c r="F74" i="29"/>
  <c r="F147" i="29"/>
  <c r="F88" i="29"/>
  <c r="F343" i="29"/>
  <c r="F30" i="29"/>
  <c r="F24" i="29"/>
  <c r="F173" i="29"/>
  <c r="F127" i="29"/>
  <c r="F159" i="29"/>
  <c r="E259" i="29"/>
  <c r="F310" i="29"/>
  <c r="F345" i="29"/>
  <c r="E188" i="29"/>
  <c r="F65" i="29"/>
  <c r="F150" i="29"/>
  <c r="F306" i="29"/>
  <c r="F231" i="29"/>
  <c r="F305" i="29"/>
  <c r="F59" i="29"/>
  <c r="E316" i="29"/>
  <c r="F312" i="29"/>
  <c r="E317" i="29"/>
  <c r="F302" i="29"/>
  <c r="F369" i="29"/>
  <c r="F17" i="29"/>
  <c r="F40" i="29"/>
  <c r="F50" i="29"/>
  <c r="F130" i="29"/>
  <c r="F210" i="29"/>
  <c r="E328" i="29"/>
  <c r="F8" i="29"/>
  <c r="E9" i="29"/>
  <c r="E84" i="29"/>
  <c r="F283" i="29"/>
  <c r="F224" i="29"/>
  <c r="F220" i="29"/>
  <c r="E163" i="29"/>
  <c r="F204" i="29"/>
  <c r="F20" i="29"/>
  <c r="E370" i="29"/>
  <c r="F277" i="29"/>
  <c r="F85" i="29"/>
  <c r="E60" i="29"/>
  <c r="F169" i="29"/>
  <c r="E52" i="29"/>
  <c r="F142" i="29"/>
  <c r="E214" i="29"/>
  <c r="F65" i="30"/>
  <c r="E145" i="30"/>
  <c r="E87" i="30"/>
  <c r="E241" i="30"/>
  <c r="F66" i="30"/>
  <c r="F100" i="30"/>
  <c r="F242" i="30"/>
  <c r="E68" i="30"/>
  <c r="F67" i="30"/>
  <c r="F116" i="30"/>
  <c r="F178" i="30"/>
  <c r="E52" i="30"/>
  <c r="F114" i="30"/>
  <c r="F130" i="30"/>
  <c r="E131" i="30"/>
  <c r="F177" i="30"/>
  <c r="F81" i="30"/>
  <c r="E84" i="30"/>
  <c r="F161" i="30"/>
  <c r="F151" i="30"/>
  <c r="F132" i="30"/>
  <c r="E244" i="30"/>
  <c r="F210" i="30"/>
  <c r="E191" i="30"/>
  <c r="F212" i="30"/>
  <c r="E162" i="30"/>
  <c r="E193" i="30"/>
  <c r="F215" i="30"/>
  <c r="E209" i="30"/>
  <c r="F97" i="30"/>
  <c r="E225" i="30"/>
  <c r="F49" i="30"/>
  <c r="F164" i="30"/>
  <c r="E228" i="30"/>
  <c r="F33" i="30"/>
  <c r="F180" i="30"/>
  <c r="F196" i="30"/>
  <c r="E127" i="30"/>
  <c r="E50" i="30"/>
  <c r="E146" i="30"/>
  <c r="F75" i="30"/>
  <c r="E36" i="30"/>
  <c r="F203" i="30"/>
  <c r="D12" i="30"/>
  <c r="D16" i="30"/>
  <c r="D20" i="30"/>
  <c r="D24" i="30"/>
  <c r="D28" i="30"/>
  <c r="D32" i="30"/>
  <c r="D11" i="30"/>
  <c r="D15" i="30"/>
  <c r="D19" i="30"/>
  <c r="D23" i="30"/>
  <c r="D27" i="30"/>
  <c r="D31" i="30"/>
  <c r="D9" i="30"/>
  <c r="D13" i="30"/>
  <c r="D17" i="30"/>
  <c r="D21" i="30"/>
  <c r="D25" i="30"/>
  <c r="D29" i="30"/>
  <c r="D10" i="30"/>
  <c r="D14" i="30"/>
  <c r="D18" i="30"/>
  <c r="D22" i="30"/>
  <c r="D26" i="30"/>
  <c r="D30" i="30"/>
  <c r="D8" i="30"/>
  <c r="E111" i="30"/>
  <c r="F187" i="30"/>
  <c r="F135" i="30"/>
  <c r="F171" i="30"/>
  <c r="F247" i="30"/>
  <c r="F206" i="30"/>
  <c r="E243" i="30"/>
  <c r="F119" i="30"/>
  <c r="F250" i="30"/>
  <c r="E62" i="30"/>
  <c r="F46" i="30"/>
  <c r="F175" i="30"/>
  <c r="F115" i="30"/>
  <c r="E137" i="30"/>
  <c r="F121" i="30"/>
  <c r="E201" i="30"/>
  <c r="E222" i="30"/>
  <c r="F231" i="30"/>
  <c r="E94" i="30"/>
  <c r="E99" i="30"/>
  <c r="E126" i="30"/>
  <c r="F227" i="30"/>
  <c r="E78" i="30"/>
  <c r="F179" i="30"/>
  <c r="F158" i="30"/>
  <c r="E202" i="30"/>
  <c r="E35" i="30"/>
  <c r="F170" i="30"/>
  <c r="F106" i="30"/>
  <c r="F125" i="30"/>
  <c r="F90" i="30"/>
  <c r="E112" i="30"/>
  <c r="E218" i="30"/>
  <c r="E74" i="30"/>
  <c r="F252" i="30"/>
  <c r="F64" i="30"/>
  <c r="F246" i="30"/>
  <c r="E143" i="30"/>
  <c r="E220" i="30"/>
  <c r="F155" i="30"/>
  <c r="F82" i="29"/>
  <c r="E212" i="29"/>
  <c r="F262" i="29"/>
  <c r="F271" i="29"/>
  <c r="F338" i="29"/>
  <c r="F6" i="29"/>
  <c r="E98" i="29"/>
  <c r="E252" i="29"/>
  <c r="E246" i="29"/>
  <c r="E57" i="29"/>
  <c r="E348" i="29"/>
  <c r="E45" i="29"/>
  <c r="F125" i="29"/>
  <c r="F209" i="29"/>
  <c r="E209" i="29"/>
  <c r="E92" i="29"/>
  <c r="F92" i="29"/>
  <c r="F38" i="29"/>
  <c r="E38" i="29"/>
  <c r="E230" i="29"/>
  <c r="F230" i="29"/>
  <c r="E104" i="29"/>
  <c r="F104" i="29"/>
  <c r="E35" i="29"/>
  <c r="F35" i="29"/>
  <c r="F99" i="29"/>
  <c r="E99" i="29"/>
  <c r="F227" i="29"/>
  <c r="E227" i="29"/>
  <c r="E22" i="29"/>
  <c r="F22" i="29"/>
  <c r="E16" i="29"/>
  <c r="F16" i="29"/>
  <c r="E205" i="29"/>
  <c r="F205" i="29"/>
  <c r="F162" i="29"/>
  <c r="E162" i="29"/>
  <c r="E95" i="29"/>
  <c r="F95" i="29"/>
  <c r="E276" i="29"/>
  <c r="F276" i="29"/>
  <c r="E347" i="29"/>
  <c r="F347" i="29"/>
  <c r="E263" i="29"/>
  <c r="F263" i="29"/>
  <c r="E286" i="29"/>
  <c r="F286" i="29"/>
  <c r="E261" i="29"/>
  <c r="F261" i="29"/>
  <c r="E109" i="29"/>
  <c r="F109" i="29"/>
  <c r="E197" i="29"/>
  <c r="F197" i="29"/>
  <c r="F66" i="29"/>
  <c r="E66" i="29"/>
  <c r="E154" i="29"/>
  <c r="F154" i="29"/>
  <c r="E100" i="29"/>
  <c r="F100" i="29"/>
  <c r="E146" i="29"/>
  <c r="F146" i="29"/>
  <c r="F148" i="29"/>
  <c r="E148" i="29"/>
  <c r="F251" i="29"/>
  <c r="E251" i="29"/>
  <c r="F300" i="29"/>
  <c r="E300" i="29"/>
  <c r="F7" i="29"/>
  <c r="E7" i="29"/>
  <c r="F323" i="29"/>
  <c r="E323" i="29"/>
  <c r="F366" i="29"/>
  <c r="E366" i="29"/>
  <c r="F353" i="29"/>
  <c r="E353" i="29"/>
  <c r="E258" i="29"/>
  <c r="F258" i="29"/>
  <c r="E322" i="29"/>
  <c r="F322" i="29"/>
  <c r="F222" i="29"/>
  <c r="E222" i="29"/>
  <c r="E239" i="29"/>
  <c r="F239" i="29"/>
  <c r="E160" i="29"/>
  <c r="F160" i="29"/>
  <c r="F11" i="29"/>
  <c r="E11" i="29"/>
  <c r="E158" i="29"/>
  <c r="F158" i="29"/>
  <c r="F175" i="29"/>
  <c r="E175" i="29"/>
  <c r="E94" i="29"/>
  <c r="F94" i="29"/>
  <c r="E151" i="29"/>
  <c r="F151" i="29"/>
  <c r="F267" i="29"/>
  <c r="E267" i="29"/>
  <c r="E296" i="29"/>
  <c r="F296" i="29"/>
  <c r="E272" i="29"/>
  <c r="F272" i="29"/>
  <c r="F342" i="29"/>
  <c r="E342" i="29"/>
  <c r="E112" i="29"/>
  <c r="E314" i="29"/>
  <c r="F365" i="29"/>
  <c r="E255" i="29"/>
  <c r="F325" i="29"/>
  <c r="E54" i="29"/>
  <c r="F54" i="29"/>
  <c r="E182" i="29"/>
  <c r="F182" i="29"/>
  <c r="F51" i="29"/>
  <c r="E51" i="29"/>
  <c r="F179" i="29"/>
  <c r="E179" i="29"/>
  <c r="E31" i="29"/>
  <c r="F31" i="29"/>
  <c r="F229" i="29"/>
  <c r="E229" i="29"/>
  <c r="F200" i="29"/>
  <c r="E200" i="29"/>
  <c r="F186" i="29"/>
  <c r="E186" i="29"/>
  <c r="E64" i="29"/>
  <c r="F64" i="29"/>
  <c r="E119" i="29"/>
  <c r="F119" i="29"/>
  <c r="F244" i="29"/>
  <c r="E244" i="29"/>
  <c r="F350" i="29"/>
  <c r="E350" i="29"/>
  <c r="E309" i="29"/>
  <c r="F309" i="29"/>
  <c r="F213" i="29"/>
  <c r="E213" i="29"/>
  <c r="E103" i="29"/>
  <c r="F103" i="29"/>
  <c r="F187" i="29"/>
  <c r="E187" i="29"/>
  <c r="F27" i="29"/>
  <c r="E27" i="29"/>
  <c r="E337" i="29"/>
  <c r="F337" i="29"/>
  <c r="F274" i="29"/>
  <c r="E274" i="29"/>
  <c r="E335" i="29"/>
  <c r="F335" i="29"/>
  <c r="F284" i="29"/>
  <c r="E284" i="29"/>
  <c r="F292" i="29"/>
  <c r="E292" i="29"/>
  <c r="F111" i="29"/>
  <c r="E111" i="29"/>
  <c r="E228" i="29"/>
  <c r="F228" i="29"/>
  <c r="F339" i="29"/>
  <c r="E339" i="29"/>
  <c r="E270" i="29"/>
  <c r="F270" i="29"/>
  <c r="F297" i="29"/>
  <c r="E297" i="29"/>
  <c r="F194" i="29"/>
  <c r="E194" i="29"/>
  <c r="F43" i="29"/>
  <c r="E43" i="29"/>
  <c r="E215" i="29"/>
  <c r="F215" i="29"/>
  <c r="F47" i="29"/>
  <c r="E47" i="29"/>
  <c r="F219" i="29"/>
  <c r="E219" i="29"/>
  <c r="E174" i="29"/>
  <c r="F174" i="29"/>
  <c r="E191" i="29"/>
  <c r="F191" i="29"/>
  <c r="E32" i="29"/>
  <c r="F32" i="29"/>
  <c r="E313" i="29"/>
  <c r="F313" i="29"/>
  <c r="E355" i="29"/>
  <c r="F355" i="29"/>
  <c r="E12" i="29"/>
  <c r="F12" i="29"/>
  <c r="E294" i="29"/>
  <c r="F294" i="29"/>
  <c r="E25" i="29"/>
  <c r="F25" i="29"/>
  <c r="E275" i="29"/>
  <c r="F275" i="29"/>
  <c r="E121" i="29"/>
  <c r="F201" i="29"/>
  <c r="E156" i="29"/>
  <c r="F196" i="29"/>
  <c r="E171" i="29"/>
  <c r="E180" i="29"/>
  <c r="F362" i="29"/>
  <c r="E333" i="29"/>
  <c r="E273" i="29"/>
  <c r="E189" i="29"/>
  <c r="F281" i="29"/>
  <c r="F181" i="29"/>
  <c r="F170" i="29"/>
  <c r="E250" i="29"/>
  <c r="F28" i="29"/>
  <c r="F289" i="29"/>
  <c r="E97" i="29"/>
  <c r="E225" i="29"/>
  <c r="E166" i="29"/>
  <c r="F340" i="29"/>
  <c r="E332" i="29"/>
  <c r="E133" i="29"/>
  <c r="F167" i="29"/>
  <c r="F304" i="29"/>
  <c r="E78" i="29"/>
  <c r="F78" i="29"/>
  <c r="E245" i="29"/>
  <c r="F245" i="29"/>
  <c r="E71" i="29"/>
  <c r="F71" i="29"/>
  <c r="E253" i="29"/>
  <c r="F253" i="29"/>
  <c r="F138" i="29"/>
  <c r="E138" i="29"/>
  <c r="E53" i="29"/>
  <c r="F53" i="29"/>
  <c r="E116" i="29"/>
  <c r="F116" i="29"/>
  <c r="E349" i="29"/>
  <c r="F349" i="29"/>
  <c r="E344" i="29"/>
  <c r="F344" i="29"/>
  <c r="F105" i="29"/>
  <c r="E301" i="29"/>
  <c r="E329" i="29"/>
  <c r="E117" i="29"/>
  <c r="E161" i="29"/>
  <c r="F161" i="29"/>
  <c r="E128" i="29"/>
  <c r="F128" i="29"/>
  <c r="E118" i="29"/>
  <c r="F118" i="29"/>
  <c r="F115" i="29"/>
  <c r="E115" i="29"/>
  <c r="E141" i="29"/>
  <c r="F141" i="29"/>
  <c r="E266" i="29"/>
  <c r="F266" i="29"/>
  <c r="E164" i="29"/>
  <c r="F164" i="29"/>
  <c r="E36" i="29"/>
  <c r="F36" i="29"/>
  <c r="F41" i="29"/>
  <c r="F217" i="29"/>
  <c r="F203" i="29"/>
  <c r="F260" i="29"/>
  <c r="F327" i="29"/>
  <c r="E346" i="29"/>
  <c r="F192" i="29"/>
  <c r="E144" i="29"/>
  <c r="E202" i="29"/>
  <c r="F232" i="29"/>
  <c r="F183" i="29"/>
  <c r="E33" i="29"/>
  <c r="F145" i="29"/>
  <c r="F102" i="29"/>
  <c r="F132" i="29"/>
  <c r="E90" i="29"/>
  <c r="E81" i="29"/>
  <c r="F129" i="29"/>
  <c r="F223" i="29"/>
  <c r="F149" i="29"/>
  <c r="F106" i="29"/>
  <c r="F18" i="29"/>
  <c r="F49" i="29"/>
  <c r="F113" i="29"/>
  <c r="F177" i="29"/>
  <c r="F241" i="29"/>
  <c r="F176" i="29"/>
  <c r="F70" i="29"/>
  <c r="F134" i="29"/>
  <c r="F198" i="29"/>
  <c r="F48" i="29"/>
  <c r="E172" i="29"/>
  <c r="E67" i="29"/>
  <c r="E131" i="29"/>
  <c r="E195" i="29"/>
  <c r="F152" i="29"/>
  <c r="F15" i="29"/>
  <c r="F357" i="29"/>
  <c r="F293" i="29"/>
  <c r="F165" i="29"/>
  <c r="F122" i="29"/>
  <c r="F257" i="29"/>
  <c r="E368" i="29"/>
  <c r="F368" i="29"/>
  <c r="E30" i="30" l="1"/>
  <c r="F30" i="30"/>
  <c r="E14" i="30"/>
  <c r="F14" i="30"/>
  <c r="F21" i="30"/>
  <c r="E21" i="30"/>
  <c r="F31" i="30"/>
  <c r="E31" i="30"/>
  <c r="E15" i="30"/>
  <c r="F15" i="30"/>
  <c r="F24" i="30"/>
  <c r="E24" i="30"/>
  <c r="E26" i="30"/>
  <c r="F26" i="30"/>
  <c r="E10" i="30"/>
  <c r="F10" i="30"/>
  <c r="F17" i="30"/>
  <c r="E17" i="30"/>
  <c r="F27" i="30"/>
  <c r="E27" i="30"/>
  <c r="E11" i="30"/>
  <c r="F11" i="30"/>
  <c r="E20" i="30"/>
  <c r="F20" i="30"/>
  <c r="F22" i="30"/>
  <c r="E22" i="30"/>
  <c r="E29" i="30"/>
  <c r="F29" i="30"/>
  <c r="F13" i="30"/>
  <c r="E13" i="30"/>
  <c r="F23" i="30"/>
  <c r="E23" i="30"/>
  <c r="E32" i="30"/>
  <c r="F32" i="30"/>
  <c r="E16" i="30"/>
  <c r="F16" i="30"/>
  <c r="E8" i="30"/>
  <c r="F8" i="30"/>
  <c r="E18" i="30"/>
  <c r="F18" i="30"/>
  <c r="E25" i="30"/>
  <c r="F25" i="30"/>
  <c r="E9" i="30"/>
  <c r="F9" i="30"/>
  <c r="F19" i="30"/>
  <c r="E19" i="30"/>
  <c r="E28" i="30"/>
  <c r="F28" i="30"/>
  <c r="F12" i="30"/>
  <c r="E12" i="30"/>
  <c r="L45" i="17" l="1"/>
  <c r="K45" i="17"/>
  <c r="J45" i="17"/>
  <c r="F45" i="17"/>
  <c r="L33" i="17"/>
  <c r="K33" i="17"/>
  <c r="J33" i="17"/>
  <c r="F33" i="17"/>
  <c r="L34" i="17"/>
  <c r="K34" i="17"/>
  <c r="J34" i="17"/>
  <c r="F34" i="17"/>
  <c r="L18" i="17"/>
  <c r="L32" i="17"/>
  <c r="L40" i="17"/>
  <c r="L41" i="17"/>
  <c r="L42" i="17"/>
  <c r="L12" i="17"/>
  <c r="L13" i="17"/>
  <c r="L14" i="17"/>
  <c r="L15" i="17"/>
  <c r="L16" i="17"/>
  <c r="L17" i="17"/>
  <c r="L19" i="17"/>
  <c r="L20" i="17"/>
  <c r="L21" i="17"/>
  <c r="L22" i="17"/>
  <c r="L23" i="17"/>
  <c r="L24" i="17"/>
  <c r="L25" i="17"/>
  <c r="L26" i="17"/>
  <c r="L27" i="17"/>
  <c r="L28" i="17"/>
  <c r="L30" i="17"/>
  <c r="L31" i="17"/>
  <c r="L35" i="17"/>
  <c r="L36" i="17"/>
  <c r="L37" i="17"/>
  <c r="L38" i="17"/>
  <c r="L39" i="17"/>
  <c r="I43" i="17"/>
  <c r="L43" i="17" s="1"/>
  <c r="L46" i="17"/>
  <c r="L47" i="17"/>
  <c r="L48" i="17"/>
  <c r="L49" i="17"/>
  <c r="L50" i="17"/>
  <c r="L51" i="17"/>
  <c r="L52" i="17"/>
  <c r="L53" i="17"/>
  <c r="L54" i="17"/>
  <c r="L55" i="17"/>
  <c r="L56" i="17"/>
  <c r="L57" i="17"/>
  <c r="L58" i="17"/>
  <c r="L59" i="17"/>
  <c r="L60" i="17"/>
  <c r="L61" i="17"/>
  <c r="L62" i="17"/>
  <c r="L63" i="17"/>
  <c r="K18" i="17"/>
  <c r="K32" i="17"/>
  <c r="K40" i="17"/>
  <c r="K41" i="17"/>
  <c r="K42" i="17"/>
  <c r="K12" i="17"/>
  <c r="K13" i="17"/>
  <c r="K14" i="17"/>
  <c r="K15" i="17"/>
  <c r="K16" i="17"/>
  <c r="K17" i="17"/>
  <c r="K19" i="17"/>
  <c r="K20" i="17"/>
  <c r="K21" i="17"/>
  <c r="K22" i="17"/>
  <c r="K23" i="17"/>
  <c r="K24" i="17"/>
  <c r="K25" i="17"/>
  <c r="K26" i="17"/>
  <c r="K27" i="17"/>
  <c r="K28" i="17"/>
  <c r="K30" i="17"/>
  <c r="K31" i="17"/>
  <c r="K35" i="17"/>
  <c r="K36" i="17"/>
  <c r="K37" i="17"/>
  <c r="K38" i="17"/>
  <c r="K39" i="17"/>
  <c r="H43" i="17"/>
  <c r="K43" i="17" s="1"/>
  <c r="K46" i="17"/>
  <c r="K47" i="17"/>
  <c r="K48" i="17"/>
  <c r="K49" i="17"/>
  <c r="K50" i="17"/>
  <c r="K51" i="17"/>
  <c r="K52" i="17"/>
  <c r="K53" i="17"/>
  <c r="K54" i="17"/>
  <c r="K55" i="17"/>
  <c r="K56" i="17"/>
  <c r="K57" i="17"/>
  <c r="K58" i="17"/>
  <c r="K59" i="17"/>
  <c r="K60" i="17"/>
  <c r="K61" i="17"/>
  <c r="K62" i="17"/>
  <c r="K63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30" i="17"/>
  <c r="J31" i="17"/>
  <c r="J32" i="17"/>
  <c r="J35" i="17"/>
  <c r="J36" i="17"/>
  <c r="J37" i="17"/>
  <c r="J38" i="17"/>
  <c r="J39" i="17"/>
  <c r="J40" i="17"/>
  <c r="J41" i="17"/>
  <c r="J42" i="17"/>
  <c r="J43" i="17"/>
  <c r="J46" i="17"/>
  <c r="J47" i="17"/>
  <c r="J48" i="17"/>
  <c r="J49" i="17"/>
  <c r="J50" i="17"/>
  <c r="J51" i="17"/>
  <c r="J52" i="17"/>
  <c r="J53" i="17"/>
  <c r="J54" i="17"/>
  <c r="J55" i="17"/>
  <c r="J56" i="17"/>
  <c r="J57" i="17"/>
  <c r="J58" i="17"/>
  <c r="J59" i="17"/>
  <c r="J60" i="17"/>
  <c r="J61" i="17"/>
  <c r="J62" i="17"/>
  <c r="J63" i="17"/>
  <c r="F42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5" i="17"/>
  <c r="F36" i="17"/>
  <c r="F37" i="17"/>
  <c r="F38" i="17"/>
  <c r="F39" i="17"/>
  <c r="F40" i="17"/>
  <c r="F41" i="17"/>
  <c r="E43" i="17"/>
  <c r="F43" i="17" s="1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D65" i="17"/>
  <c r="Q64" i="17" l="1"/>
  <c r="Q65" i="17" s="1"/>
  <c r="F65" i="17"/>
  <c r="L65" i="17"/>
  <c r="J65" i="17"/>
  <c r="K65" i="17"/>
  <c r="S69" i="17" l="1"/>
  <c r="U69" i="17"/>
  <c r="T69" i="17"/>
  <c r="V69" i="17"/>
  <c r="R69" i="17"/>
  <c r="J68" i="17" s="1"/>
  <c r="Q69" i="17"/>
  <c r="F68" i="17" s="1"/>
  <c r="Q66" i="17"/>
  <c r="E79" i="17"/>
  <c r="F79" i="17" s="1"/>
  <c r="E77" i="17"/>
  <c r="F77" i="17" s="1"/>
  <c r="E76" i="17"/>
  <c r="F76" i="17" s="1"/>
  <c r="E74" i="17"/>
  <c r="F74" i="17" s="1"/>
  <c r="N65" i="17" l="1"/>
  <c r="L68" i="17"/>
  <c r="K68" i="17"/>
</calcChain>
</file>

<file path=xl/sharedStrings.xml><?xml version="1.0" encoding="utf-8"?>
<sst xmlns="http://schemas.openxmlformats.org/spreadsheetml/2006/main" count="279" uniqueCount="188">
  <si>
    <t xml:space="preserve">PROJECT:  </t>
  </si>
  <si>
    <t xml:space="preserve">LOCATION:  </t>
  </si>
  <si>
    <t xml:space="preserve">CLIENT:  </t>
  </si>
  <si>
    <t xml:space="preserve">JOB NUMBER: </t>
  </si>
  <si>
    <t xml:space="preserve">DATE:  </t>
  </si>
  <si>
    <t>HOT</t>
  </si>
  <si>
    <t>COLD</t>
  </si>
  <si>
    <t>COMBINED</t>
  </si>
  <si>
    <t>TOTAL</t>
  </si>
  <si>
    <t>FIXTURE TYPE</t>
  </si>
  <si>
    <t>S.F.U.</t>
  </si>
  <si>
    <t>SERVICE</t>
  </si>
  <si>
    <t>(HOT)</t>
  </si>
  <si>
    <t>(COLD)</t>
  </si>
  <si>
    <t>BATHTUB (PRIVATE)</t>
  </si>
  <si>
    <t>BIDET</t>
  </si>
  <si>
    <t>PRIVATE CLOTHES WASHER RESIDENTIAL</t>
  </si>
  <si>
    <t>PUBLIC CLOTHES WASHER RESIDENTIAL</t>
  </si>
  <si>
    <t xml:space="preserve"> </t>
  </si>
  <si>
    <t>CLINICAL SERVICE SINK</t>
  </si>
  <si>
    <t>DISHWASHER (RESIDENTIAL)</t>
  </si>
  <si>
    <t>DRINKING FOUNTAIN</t>
  </si>
  <si>
    <t>PUBLIC SINK (KITCHEN OR BREAKROOM)</t>
  </si>
  <si>
    <t>SINK (FLUSHING RIM)</t>
  </si>
  <si>
    <t>PRIVATE LAVATORY</t>
  </si>
  <si>
    <t>PUBLIC LAVATORY</t>
  </si>
  <si>
    <t>SERVICE SINK (MOP BASIN)</t>
  </si>
  <si>
    <t>PRIVATE LAUNDRY TUB</t>
  </si>
  <si>
    <t>FLOOR DRAIN</t>
  </si>
  <si>
    <t>URINAL (1.0 GPF)</t>
  </si>
  <si>
    <t>WALL HYDRANT</t>
  </si>
  <si>
    <t xml:space="preserve">WALL HYDRANT  - NON-FREEZE </t>
  </si>
  <si>
    <t>PRIVATE WATER CLOSET (1.6 GPF FLUSH TANK)</t>
  </si>
  <si>
    <t>PUBLIC WATER CLOSET (1.6 GPF FLUSH TANK)</t>
  </si>
  <si>
    <t>PRIVATE WATER CLOSET (1.6 GPF FLUSH VALVE)</t>
  </si>
  <si>
    <t>PUBLIC WATER CLOSET (1.6 GPF FLUSH VALVE)</t>
  </si>
  <si>
    <t>MISC. CONTINUOUS FLOW (GPM)</t>
  </si>
  <si>
    <t xml:space="preserve"> SPECIALTY KITCHEN EQUIP.</t>
  </si>
  <si>
    <t>DISPOSER (2" TRAP)</t>
  </si>
  <si>
    <t>DISPOSER (3" TRAP)</t>
  </si>
  <si>
    <t>PRE-SCRAPPER</t>
  </si>
  <si>
    <t>CARBONATOR</t>
  </si>
  <si>
    <t>QTY</t>
  </si>
  <si>
    <t>TOTAL D.F.U.</t>
  </si>
  <si>
    <t>(EA)</t>
  </si>
  <si>
    <t>D.F.U. (EA)</t>
  </si>
  <si>
    <t>TOTAL UNITS:</t>
  </si>
  <si>
    <t>BATHROOM GROUP (1.6 GPF FLUSH TANK)</t>
  </si>
  <si>
    <t>BATHROOM GROUP (3.5 GPF FLUSH TANK)</t>
  </si>
  <si>
    <t>SHOWER (PUBLIC - EACH HEAD)</t>
  </si>
  <si>
    <t>PUBLIC WATER CLOSET (3.5 GPF FLUSH VALVE)</t>
  </si>
  <si>
    <t>PRIVATE SINK (BAR, KITCHEN OR BREAKROOM)</t>
  </si>
  <si>
    <t>SINK (WASH FOUNTAIN PER HEAD)</t>
  </si>
  <si>
    <t>CALCULATED BY:</t>
  </si>
  <si>
    <t>THE FIXTURE UNIT LOADS IN THIS SCHEULE</t>
  </si>
  <si>
    <t>ARE FOR PUBLIC AND PRIVATE USE.</t>
  </si>
  <si>
    <t>BELOW ARE GUIDELINES FOR SIZING WATER SERVICE LINES &amp; SANITARY BUILDING DRAINS</t>
  </si>
  <si>
    <t>TOTAL BUILDING DRAIN FIXTURE UNITS:</t>
  </si>
  <si>
    <t>PIPE SIZE: (MIN SANITARY BUILDING DRAIN)</t>
  </si>
  <si>
    <t>PIPE SIZE: (TYPE K CU @ 8 FPS, PRIMARILY FLUSH VALVES)</t>
  </si>
  <si>
    <t>PIPE SIZE: (TYPE K CU @ 8 FPS, PRIMARILY FLUSH TANKS)</t>
  </si>
  <si>
    <t>TOTAL HOT WATER FIXTURE UNITS:</t>
  </si>
  <si>
    <t>PIPE SIZE: (TYPE L CU @ 5 FPS, PRIMARILY FLUSH TANKS)</t>
  </si>
  <si>
    <t>P:\PLUM\SPREADSHEET\0000000000 CALC-WATER SERVICE ANALYSIS.xls FOR DETERMINING WATER SERVICE SIZE</t>
  </si>
  <si>
    <t>DO NOT USE 2-1/2" FOR WATER SERVICE PIPING!</t>
  </si>
  <si>
    <t>WSFU</t>
  </si>
  <si>
    <t>FT (GPM)</t>
  </si>
  <si>
    <t>FV (GPM)</t>
  </si>
  <si>
    <t>Values taken from 2000 IPC table E102</t>
  </si>
  <si>
    <t>Red text denotes interpolated data.</t>
  </si>
  <si>
    <t>Total GPM:</t>
  </si>
  <si>
    <t>URINAL (0.125 GPF)</t>
  </si>
  <si>
    <t>URINAL (WATERLESS)</t>
  </si>
  <si>
    <t xml:space="preserve"> COMMERCIAL WASHER EXTRACTOR</t>
  </si>
  <si>
    <t>SINK (BAR) (1-1/2" IW)</t>
  </si>
  <si>
    <t>SINK (DUMP) (1-1/2" IW)</t>
  </si>
  <si>
    <t>SINK (HAND) (1-1/2" IW)</t>
  </si>
  <si>
    <t>SINK (PREP / VEGGIE) (2" IW)</t>
  </si>
  <si>
    <t>SINK (2 COMPARTMENT) (2" IW)</t>
  </si>
  <si>
    <t>SINK (3 COMPARTMENT) (2" IW)</t>
  </si>
  <si>
    <t>DISHWASHER (RESTAURANT) (2" IW)</t>
  </si>
  <si>
    <t>ICE MACHINE (3/4" IW)</t>
  </si>
  <si>
    <t>HOT FOOD TABLE (3/4" IW)</t>
  </si>
  <si>
    <t>DIPPER WELL (3/4" IW)</t>
  </si>
  <si>
    <t>COFFEE MAKER  (3/4" IW)</t>
  </si>
  <si>
    <t>TEA MAKER  (3/4" IW)</t>
  </si>
  <si>
    <t>CAPPUCCINO MACHINE  (3/4" IW)</t>
  </si>
  <si>
    <t>Workbook Author:  Warren Rosenbrook</t>
  </si>
  <si>
    <t>Questions, Comments, Errors?  - Please contact me.</t>
  </si>
  <si>
    <t xml:space="preserve">Original Release </t>
  </si>
  <si>
    <t>??</t>
  </si>
  <si>
    <t>revision history</t>
  </si>
  <si>
    <t>v1.02</t>
  </si>
  <si>
    <t>2013 0907</t>
  </si>
  <si>
    <t>updated spreadsheet with expanded Hunters Curve data and dynamic interpolator.</t>
  </si>
  <si>
    <t>2013 0925</t>
  </si>
  <si>
    <t>corrected error with interpolation calculation</t>
  </si>
  <si>
    <t>How-To Guide for the Calculator</t>
  </si>
  <si>
    <t>INTRODUCTION</t>
  </si>
  <si>
    <t>This how-to guide will provide step-by step information about how to use the calculator.  We will discuss each individual sheet</t>
  </si>
  <si>
    <t>as well as each input cell.  Please note that use of this calculator requires a knowledge of the requirements of referenced standards (if applicable).</t>
  </si>
  <si>
    <t>NOTE: This how-to guide will be written generically.  References to the year of the standard will be omitted from this how-to guide in order</t>
  </si>
  <si>
    <t>to allow it to be applicable (and easily editable) for future revisions.</t>
  </si>
  <si>
    <t>NOTE:  Sheet comments are available in several cells.  You can identify a cell with a comment by the red triangle in the top-right corner</t>
  </si>
  <si>
    <t>of the cell.  Mouse over the cell to read the comment.</t>
  </si>
  <si>
    <t>NOTE:  The sheet is protected to prevent any accidental damage to the calculations within.  If you would like to turn off protection, go to the excel</t>
  </si>
  <si>
    <t>ribbon&gt;review&gt;unprotect sheet</t>
  </si>
  <si>
    <t>INTRODUCTION: COLOR CODES</t>
  </si>
  <si>
    <t>CELLS: This calculator utilizes a color coding technique to help easily identify the purpose of a cell.</t>
  </si>
  <si>
    <t>Blue Cells:  Input cells that require the user to provide information</t>
  </si>
  <si>
    <t>Light Orange Cells:  Optional input cells.  Calculations do not require input in these cells. Often these are overrides.</t>
  </si>
  <si>
    <t>Clear Cells: Output cells for calculations.</t>
  </si>
  <si>
    <t>Grey Cells:  Inactive cells.  Based on user input selections these cells do not apply and are therefore inactive.</t>
  </si>
  <si>
    <t>Red Cells:  Critical warning cells.  The calculator will not produce reliable information when any red cell appears.</t>
  </si>
  <si>
    <t xml:space="preserve">TABS: The tabs of the calculator are also color coded. </t>
  </si>
  <si>
    <t>Green Tabs:  Used for calculations spreadsheets.</t>
  </si>
  <si>
    <t>Orange Tabs:  Used for importing into the contract documents.</t>
  </si>
  <si>
    <t>Black Tabs:  Reference information to assist you.</t>
  </si>
  <si>
    <t>We will now look into the functionality of each individual spreadsheet TAB.</t>
  </si>
  <si>
    <t>SPREADSHEET GENERAL RULES</t>
  </si>
  <si>
    <t>DO NOT INSERT OR DELETE COLUMNS OR ROWS.  UNHIDE ADDITIONAL ROWS PROVIDED FOR YOU INSTEAD OF ADDING NEW.  HIDE ADDITIONAL ROWS YOU DO NOT NEED INSTEAD OF DELETING.</t>
  </si>
  <si>
    <t>THIS SPREADSHEET IS THE INTELLECTUAL PROPERTY OF HEI.  DO NOT SEND IT OUTSIDE OF THE COMPANY.  IT IS ONLY PERMISSBLE TO PRINT TO PDF AND THEN SEND.</t>
  </si>
  <si>
    <t>v1.03</t>
  </si>
  <si>
    <t>2014 1002</t>
  </si>
  <si>
    <t>Corrected error on Flush Valve Interpolation Calculation with Hunter Curve Data. D Adair.</t>
  </si>
  <si>
    <t>2016 0303</t>
  </si>
  <si>
    <t>JPC edit - Added HEI restricted access to tool so that calculator cannot be opened outside of HEI servers.</t>
  </si>
  <si>
    <t>v1.04</t>
  </si>
  <si>
    <t>v1.05</t>
  </si>
  <si>
    <t>Updated to HEI standards and made it Revit ready.</t>
  </si>
  <si>
    <t>JPC edit - Added formatting and copy clip macro buttons.</t>
  </si>
  <si>
    <r>
      <t>TOTAL WATER SERVICE FIXTURE UNITS</t>
    </r>
    <r>
      <rPr>
        <b/>
        <vertAlign val="superscript"/>
        <sz val="8"/>
        <rFont val="Arial"/>
        <family val="2"/>
      </rPr>
      <t>1</t>
    </r>
    <r>
      <rPr>
        <sz val="8"/>
        <rFont val="Arial"/>
        <family val="2"/>
      </rPr>
      <t>:</t>
    </r>
  </si>
  <si>
    <t>2006 IPC FIXTURE LOADING</t>
  </si>
  <si>
    <t>2016 0311</t>
  </si>
  <si>
    <t>v1.06</t>
  </si>
  <si>
    <t>2016 0503</t>
  </si>
  <si>
    <t>Justin Older - Fixed a calculation error in the bottom row where the red cells are highlighted.  They were referencing blank cells.</t>
  </si>
  <si>
    <t>v1.07</t>
  </si>
  <si>
    <t>Jared Carlson - Set the "Print Area" on the schedule tabs (2006 IPC) to work with latest update to Schedule XL in Revit.</t>
  </si>
  <si>
    <t>v1.08</t>
  </si>
  <si>
    <t>2018 0127</t>
  </si>
  <si>
    <t>Jared Carlson - Disabled the auto-format feature that runs during closing per Mike M. direction.</t>
  </si>
  <si>
    <t>Sum of flush valve supply fixture units</t>
  </si>
  <si>
    <t>Flush tank or flush valve column determiner</t>
  </si>
  <si>
    <t>CALC (GPM)</t>
  </si>
  <si>
    <t>DIFF (GPM)</t>
  </si>
  <si>
    <t>DIFF (%)</t>
  </si>
  <si>
    <t>b</t>
  </si>
  <si>
    <t>c1</t>
  </si>
  <si>
    <t>c2</t>
  </si>
  <si>
    <t>c3</t>
  </si>
  <si>
    <t>c4</t>
  </si>
  <si>
    <t>c5</t>
  </si>
  <si>
    <t>c6</t>
  </si>
  <si>
    <t>IPC</t>
  </si>
  <si>
    <t>FV (25 &lt; x &lt; 250)</t>
  </si>
  <si>
    <t>FV (x &lt; 30)</t>
  </si>
  <si>
    <t>FT (250 &lt; x &lt; 1000)</t>
  </si>
  <si>
    <t>FT (25 &lt; x &lt; 250)</t>
  </si>
  <si>
    <t>FT (x &lt; 30)</t>
  </si>
  <si>
    <t>FLUSH TANK (GPM)</t>
  </si>
  <si>
    <t>FLUSH VALVE (GPM)</t>
  </si>
  <si>
    <t>SAN</t>
  </si>
  <si>
    <t>HW</t>
  </si>
  <si>
    <t>CW</t>
  </si>
  <si>
    <t>Created Equation</t>
  </si>
  <si>
    <t>v1.09</t>
  </si>
  <si>
    <t>v1.10</t>
  </si>
  <si>
    <t>v1.11</t>
  </si>
  <si>
    <t>2020 0623</t>
  </si>
  <si>
    <t>SJB - Revised Fixture Unit to GPM calculations.</t>
  </si>
  <si>
    <t>2006 - 18 IPC FIXTURE LOADING</t>
  </si>
  <si>
    <t>If any flush valves are in the projects cell will show "FLUSH VALVE" else will show "FLUSH TANK"</t>
  </si>
  <si>
    <t>2017 0815</t>
  </si>
  <si>
    <t>2019 0724</t>
  </si>
  <si>
    <t>Add logic to determine flush tank vs flush valve curve.</t>
  </si>
  <si>
    <t>KETTLE (2" IW)</t>
  </si>
  <si>
    <t>SHOWER (PRIVATE- ONE HEAD)</t>
  </si>
  <si>
    <t>IPC FIXTURE LOADING</t>
  </si>
  <si>
    <t>NOTES:</t>
  </si>
  <si>
    <t xml:space="preserve">IF WATER SERVICE IS 3" AND LARGER, USE DUCITLE IRON PIPE &amp; USE </t>
  </si>
  <si>
    <t>SJB - Added notes regarding pint urinals.</t>
  </si>
  <si>
    <t>CODE DOES NOT CONTAIN WATER SERVICE FIXTURE VALUES FOR PINT (0.125 GPF) URINALS.  VALUES LISTED OUR HENDERSON'S</t>
  </si>
  <si>
    <t>ESTIMATE TO BETTER REPRESENT ACTUAL FLOW CONDITIONS.  VALUES LISTED HOWEVER ARE LESS THAN LISTED IN CODE</t>
  </si>
  <si>
    <t>AND SHOULD NOT BE USED IN JURISDICTIONS WHERE FIXTURE UNITS ARE REQUIRED TO BE SHOWN ON THE PLANS.</t>
  </si>
  <si>
    <t>PRIVATE WATER CLOSET (1.6 GPF FLUSHOMETER TANK)</t>
  </si>
  <si>
    <t>2024 0808</t>
  </si>
  <si>
    <t>WWR Change Change "PRIVATE / PUBLIC WC (1.6 GPF FLUSH TANK)" to "PRIVATE WATER CLOSET (1.6 GPF FLUSHOMETER TANK)"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</si>
</sst>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5" formatCode="&quot;$&quot;#,##0_);\(&quot;$&quot;#,##0\)"/>
    <numFmt numFmtId="43" formatCode="_(* #,##0.00_);_(* \(#,##0.00\);_(* &quot;-&quot;??_);_(@_)"/>
    <numFmt numFmtId="164" formatCode="0.0"/>
    <numFmt numFmtId="165" formatCode="General_)"/>
    <numFmt numFmtId="166" formatCode="0.0_)"/>
    <numFmt numFmtId="167" formatCode="0_)"/>
    <numFmt numFmtId="168" formatCode="0.00_)"/>
    <numFmt numFmtId="169" formatCode="mmmm\ d\,\ yyyy"/>
  </numFmts>
  <fonts count="25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name val="Helv"/>
    </font>
    <font>
      <sz val="9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20"/>
      <color theme="1"/>
      <name val="Arial"/>
      <family val="2"/>
    </font>
    <font>
      <sz val="20"/>
      <color theme="1"/>
      <name val="Arial"/>
      <family val="2"/>
    </font>
    <font>
      <b/>
      <sz val="10"/>
      <name val="Arial"/>
      <family val="2"/>
    </font>
    <font>
      <b/>
      <sz val="16"/>
      <color rgb="FFFF0000"/>
      <name val="Arial"/>
      <family val="2"/>
    </font>
    <font>
      <sz val="10"/>
      <name val="MS Sans Serif"/>
      <family val="2"/>
    </font>
    <font>
      <sz val="8"/>
      <color indexed="12"/>
      <name val="Arial"/>
      <family val="2"/>
    </font>
    <font>
      <b/>
      <vertAlign val="superscript"/>
      <sz val="8"/>
      <name val="Arial"/>
      <family val="2"/>
    </font>
    <font>
      <b/>
      <u/>
      <sz val="8"/>
      <name val="Arial"/>
      <family val="2"/>
    </font>
    <font>
      <i/>
      <sz val="9"/>
      <color indexed="39"/>
      <name val="Arial"/>
      <family val="2"/>
    </font>
    <font>
      <b/>
      <sz val="9"/>
      <name val="Arial"/>
      <family val="2"/>
    </font>
    <font>
      <sz val="10"/>
      <color rgb="FF000000"/>
      <name val="Arial"/>
      <family val="2"/>
    </font>
    <font>
      <b/>
      <sz val="24"/>
      <name val="Arial"/>
      <family val="2"/>
    </font>
    <font>
      <sz val="10"/>
      <name val="Arial"/>
      <family val="2"/>
    </font>
    <font>
      <sz val="8"/>
      <name val="MS Sans Serif"/>
      <family val="2"/>
    </font>
    <font>
      <sz val="8"/>
      <name val="Helv"/>
    </font>
  </fonts>
  <fills count="1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781">
    <xf numFmtId="0" fontId="0" fillId="0" borderId="0"/>
    <xf numFmtId="165" fontId="5" fillId="0" borderId="0"/>
    <xf numFmtId="165" fontId="5" fillId="0" borderId="0"/>
    <xf numFmtId="0" fontId="2" fillId="0" borderId="0"/>
    <xf numFmtId="0" fontId="1" fillId="0" borderId="0"/>
    <xf numFmtId="0" fontId="2" fillId="0" borderId="0"/>
    <xf numFmtId="40" fontId="1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 applyBorder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2" fillId="0" borderId="0" applyFont="0" applyFill="0" applyBorder="0" applyAlignment="0" applyProtection="0"/>
  </cellStyleXfs>
  <cellXfs count="209">
    <xf numFmtId="0" fontId="0" fillId="0" borderId="0" xfId="0"/>
    <xf numFmtId="167" fontId="3" fillId="0" borderId="5" xfId="1" applyNumberFormat="1" applyFont="1" applyBorder="1"/>
    <xf numFmtId="167" fontId="3" fillId="0" borderId="4" xfId="1" applyNumberFormat="1" applyFont="1" applyBorder="1"/>
    <xf numFmtId="165" fontId="4" fillId="0" borderId="0" xfId="2" applyFont="1"/>
    <xf numFmtId="0" fontId="6" fillId="0" borderId="18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/>
    </xf>
    <xf numFmtId="0" fontId="6" fillId="0" borderId="20" xfId="0" applyFont="1" applyBorder="1" applyAlignment="1">
      <alignment horizontal="left" vertical="center"/>
    </xf>
    <xf numFmtId="0" fontId="6" fillId="0" borderId="21" xfId="0" applyFont="1" applyBorder="1" applyAlignment="1">
      <alignment horizontal="left" vertical="center"/>
    </xf>
    <xf numFmtId="0" fontId="2" fillId="0" borderId="0" xfId="3"/>
    <xf numFmtId="0" fontId="2" fillId="0" borderId="22" xfId="3" applyBorder="1" applyAlignment="1">
      <alignment horizontal="center"/>
    </xf>
    <xf numFmtId="0" fontId="2" fillId="0" borderId="23" xfId="3" applyBorder="1" applyAlignment="1">
      <alignment horizontal="center"/>
    </xf>
    <xf numFmtId="0" fontId="7" fillId="0" borderId="23" xfId="3" applyFont="1" applyBorder="1" applyAlignment="1">
      <alignment horizontal="center"/>
    </xf>
    <xf numFmtId="0" fontId="7" fillId="0" borderId="0" xfId="3" applyFont="1" applyAlignment="1">
      <alignment horizontal="center"/>
    </xf>
    <xf numFmtId="0" fontId="8" fillId="0" borderId="23" xfId="3" applyFont="1" applyBorder="1" applyAlignment="1">
      <alignment horizontal="center"/>
    </xf>
    <xf numFmtId="0" fontId="8" fillId="0" borderId="0" xfId="0" applyFont="1"/>
    <xf numFmtId="0" fontId="9" fillId="0" borderId="0" xfId="0" applyFont="1"/>
    <xf numFmtId="0" fontId="2" fillId="0" borderId="0" xfId="5"/>
    <xf numFmtId="0" fontId="12" fillId="0" borderId="0" xfId="5" applyFont="1"/>
    <xf numFmtId="0" fontId="2" fillId="5" borderId="0" xfId="5" applyFill="1"/>
    <xf numFmtId="0" fontId="2" fillId="6" borderId="0" xfId="5" applyFill="1"/>
    <xf numFmtId="1" fontId="1" fillId="7" borderId="0" xfId="4" applyNumberFormat="1" applyFill="1" applyAlignment="1" applyProtection="1">
      <alignment horizontal="center"/>
      <protection locked="0"/>
    </xf>
    <xf numFmtId="0" fontId="2" fillId="8" borderId="0" xfId="5" applyFill="1"/>
    <xf numFmtId="0" fontId="2" fillId="9" borderId="0" xfId="5" applyFill="1"/>
    <xf numFmtId="0" fontId="2" fillId="10" borderId="0" xfId="5" applyFill="1"/>
    <xf numFmtId="0" fontId="2" fillId="11" borderId="0" xfId="5" applyFill="1"/>
    <xf numFmtId="0" fontId="13" fillId="0" borderId="0" xfId="5" applyFont="1"/>
    <xf numFmtId="0" fontId="9" fillId="0" borderId="0" xfId="5" applyFont="1"/>
    <xf numFmtId="0" fontId="2" fillId="0" borderId="0" xfId="0" applyFont="1"/>
    <xf numFmtId="165" fontId="3" fillId="0" borderId="0" xfId="1" applyFont="1"/>
    <xf numFmtId="165" fontId="15" fillId="0" borderId="0" xfId="1" applyFont="1" applyAlignment="1">
      <alignment horizontal="left"/>
    </xf>
    <xf numFmtId="166" fontId="3" fillId="0" borderId="0" xfId="1" applyNumberFormat="1" applyFont="1"/>
    <xf numFmtId="166" fontId="3" fillId="0" borderId="0" xfId="1" applyNumberFormat="1" applyFont="1" applyAlignment="1">
      <alignment horizontal="centerContinuous"/>
    </xf>
    <xf numFmtId="167" fontId="3" fillId="0" borderId="0" xfId="1" applyNumberFormat="1" applyFont="1"/>
    <xf numFmtId="166" fontId="4" fillId="0" borderId="0" xfId="1" applyNumberFormat="1" applyFont="1" applyAlignment="1">
      <alignment horizontal="left"/>
    </xf>
    <xf numFmtId="165" fontId="4" fillId="0" borderId="0" xfId="1" applyFont="1"/>
    <xf numFmtId="165" fontId="3" fillId="0" borderId="0" xfId="1" applyFont="1" applyAlignment="1">
      <alignment horizontal="centerContinuous"/>
    </xf>
    <xf numFmtId="167" fontId="3" fillId="0" borderId="0" xfId="1" applyNumberFormat="1" applyFont="1" applyAlignment="1">
      <alignment horizontal="centerContinuous"/>
    </xf>
    <xf numFmtId="0" fontId="3" fillId="0" borderId="14" xfId="0" applyFont="1" applyBorder="1"/>
    <xf numFmtId="0" fontId="3" fillId="0" borderId="6" xfId="0" applyFont="1" applyBorder="1"/>
    <xf numFmtId="166" fontId="3" fillId="0" borderId="6" xfId="0" applyNumberFormat="1" applyFont="1" applyBorder="1"/>
    <xf numFmtId="167" fontId="3" fillId="0" borderId="6" xfId="0" applyNumberFormat="1" applyFont="1" applyBorder="1"/>
    <xf numFmtId="167" fontId="3" fillId="0" borderId="6" xfId="1" applyNumberFormat="1" applyFont="1" applyBorder="1" applyAlignment="1">
      <alignment horizontal="centerContinuous"/>
    </xf>
    <xf numFmtId="0" fontId="3" fillId="0" borderId="1" xfId="0" applyFont="1" applyBorder="1" applyAlignment="1">
      <alignment horizontal="left"/>
    </xf>
    <xf numFmtId="0" fontId="3" fillId="0" borderId="0" xfId="0" applyFont="1" applyAlignment="1">
      <alignment horizontal="left"/>
    </xf>
    <xf numFmtId="1" fontId="3" fillId="0" borderId="0" xfId="0" applyNumberFormat="1" applyFont="1"/>
    <xf numFmtId="164" fontId="3" fillId="0" borderId="0" xfId="0" applyNumberFormat="1" applyFont="1" applyAlignment="1">
      <alignment horizontal="center"/>
    </xf>
    <xf numFmtId="166" fontId="3" fillId="0" borderId="0" xfId="0" applyNumberFormat="1" applyFont="1"/>
    <xf numFmtId="0" fontId="3" fillId="0" borderId="0" xfId="0" applyFont="1"/>
    <xf numFmtId="167" fontId="3" fillId="0" borderId="0" xfId="0" applyNumberFormat="1" applyFont="1"/>
    <xf numFmtId="167" fontId="3" fillId="0" borderId="2" xfId="1" applyNumberFormat="1" applyFont="1" applyBorder="1"/>
    <xf numFmtId="164" fontId="3" fillId="0" borderId="0" xfId="0" applyNumberFormat="1" applyFont="1"/>
    <xf numFmtId="166" fontId="3" fillId="0" borderId="0" xfId="0" applyNumberFormat="1" applyFont="1" applyAlignment="1">
      <alignment horizontal="left"/>
    </xf>
    <xf numFmtId="0" fontId="3" fillId="0" borderId="3" xfId="0" applyFont="1" applyBorder="1"/>
    <xf numFmtId="0" fontId="3" fillId="0" borderId="4" xfId="0" applyFont="1" applyBorder="1"/>
    <xf numFmtId="166" fontId="3" fillId="0" borderId="4" xfId="0" applyNumberFormat="1" applyFont="1" applyBorder="1"/>
    <xf numFmtId="167" fontId="3" fillId="0" borderId="4" xfId="0" applyNumberFormat="1" applyFont="1" applyBorder="1"/>
    <xf numFmtId="165" fontId="16" fillId="0" borderId="0" xfId="1" applyFont="1"/>
    <xf numFmtId="165" fontId="17" fillId="0" borderId="0" xfId="1" applyFont="1"/>
    <xf numFmtId="5" fontId="6" fillId="0" borderId="6" xfId="0" applyNumberFormat="1" applyFont="1" applyBorder="1" applyAlignment="1">
      <alignment horizontal="center" vertical="center"/>
    </xf>
    <xf numFmtId="5" fontId="6" fillId="0" borderId="7" xfId="0" applyNumberFormat="1" applyFont="1" applyBorder="1" applyAlignment="1">
      <alignment horizontal="center" vertical="center"/>
    </xf>
    <xf numFmtId="165" fontId="6" fillId="0" borderId="0" xfId="1" applyFont="1"/>
    <xf numFmtId="5" fontId="6" fillId="0" borderId="0" xfId="0" applyNumberFormat="1" applyFont="1" applyAlignment="1">
      <alignment horizontal="center" vertical="center"/>
    </xf>
    <xf numFmtId="5" fontId="6" fillId="0" borderId="2" xfId="0" applyNumberFormat="1" applyFont="1" applyBorder="1" applyAlignment="1">
      <alignment horizontal="center" vertical="center"/>
    </xf>
    <xf numFmtId="5" fontId="6" fillId="0" borderId="4" xfId="0" applyNumberFormat="1" applyFont="1" applyBorder="1" applyAlignment="1">
      <alignment horizontal="center" vertical="center"/>
    </xf>
    <xf numFmtId="5" fontId="6" fillId="0" borderId="5" xfId="0" applyNumberFormat="1" applyFont="1" applyBorder="1" applyAlignment="1">
      <alignment horizontal="center" vertical="center"/>
    </xf>
    <xf numFmtId="165" fontId="6" fillId="12" borderId="1" xfId="1" applyFont="1" applyFill="1" applyBorder="1"/>
    <xf numFmtId="165" fontId="6" fillId="12" borderId="2" xfId="1" applyFont="1" applyFill="1" applyBorder="1"/>
    <xf numFmtId="165" fontId="6" fillId="12" borderId="10" xfId="1" applyFont="1" applyFill="1" applyBorder="1" applyAlignment="1">
      <alignment horizontal="center"/>
    </xf>
    <xf numFmtId="165" fontId="6" fillId="12" borderId="3" xfId="1" applyFont="1" applyFill="1" applyBorder="1"/>
    <xf numFmtId="165" fontId="6" fillId="12" borderId="5" xfId="1" applyFont="1" applyFill="1" applyBorder="1"/>
    <xf numFmtId="165" fontId="6" fillId="12" borderId="3" xfId="1" applyFont="1" applyFill="1" applyBorder="1" applyAlignment="1">
      <alignment horizontal="center"/>
    </xf>
    <xf numFmtId="165" fontId="6" fillId="12" borderId="11" xfId="1" applyFont="1" applyFill="1" applyBorder="1" applyAlignment="1">
      <alignment horizontal="center"/>
    </xf>
    <xf numFmtId="165" fontId="6" fillId="12" borderId="5" xfId="1" applyFont="1" applyFill="1" applyBorder="1" applyAlignment="1">
      <alignment horizontal="center"/>
    </xf>
    <xf numFmtId="166" fontId="6" fillId="12" borderId="1" xfId="1" applyNumberFormat="1" applyFont="1" applyFill="1" applyBorder="1" applyAlignment="1">
      <alignment horizontal="center"/>
    </xf>
    <xf numFmtId="166" fontId="6" fillId="12" borderId="8" xfId="1" applyNumberFormat="1" applyFont="1" applyFill="1" applyBorder="1" applyAlignment="1">
      <alignment horizontal="center"/>
    </xf>
    <xf numFmtId="2" fontId="6" fillId="12" borderId="1" xfId="1" applyNumberFormat="1" applyFont="1" applyFill="1" applyBorder="1" applyAlignment="1">
      <alignment horizontal="center"/>
    </xf>
    <xf numFmtId="2" fontId="6" fillId="12" borderId="10" xfId="1" applyNumberFormat="1" applyFont="1" applyFill="1" applyBorder="1" applyAlignment="1">
      <alignment horizontal="center"/>
    </xf>
    <xf numFmtId="2" fontId="6" fillId="12" borderId="2" xfId="1" applyNumberFormat="1" applyFont="1" applyFill="1" applyBorder="1" applyAlignment="1">
      <alignment horizontal="center"/>
    </xf>
    <xf numFmtId="166" fontId="6" fillId="12" borderId="2" xfId="1" applyNumberFormat="1" applyFont="1" applyFill="1" applyBorder="1" applyAlignment="1">
      <alignment horizontal="center"/>
    </xf>
    <xf numFmtId="168" fontId="6" fillId="12" borderId="3" xfId="1" applyNumberFormat="1" applyFont="1" applyFill="1" applyBorder="1" applyAlignment="1">
      <alignment horizontal="center"/>
    </xf>
    <xf numFmtId="166" fontId="6" fillId="12" borderId="9" xfId="1" applyNumberFormat="1" applyFont="1" applyFill="1" applyBorder="1" applyAlignment="1">
      <alignment horizontal="center"/>
    </xf>
    <xf numFmtId="2" fontId="6" fillId="12" borderId="3" xfId="1" applyNumberFormat="1" applyFont="1" applyFill="1" applyBorder="1" applyAlignment="1">
      <alignment horizontal="center"/>
    </xf>
    <xf numFmtId="2" fontId="6" fillId="12" borderId="11" xfId="1" applyNumberFormat="1" applyFont="1" applyFill="1" applyBorder="1" applyAlignment="1">
      <alignment horizontal="center"/>
    </xf>
    <xf numFmtId="2" fontId="6" fillId="12" borderId="5" xfId="1" applyNumberFormat="1" applyFont="1" applyFill="1" applyBorder="1" applyAlignment="1">
      <alignment horizontal="center"/>
    </xf>
    <xf numFmtId="166" fontId="6" fillId="12" borderId="5" xfId="1" applyNumberFormat="1" applyFont="1" applyFill="1" applyBorder="1" applyAlignment="1">
      <alignment horizontal="center"/>
    </xf>
    <xf numFmtId="165" fontId="19" fillId="12" borderId="12" xfId="1" applyFont="1" applyFill="1" applyBorder="1" applyAlignment="1" applyProtection="1">
      <alignment horizontal="center"/>
      <protection locked="0"/>
    </xf>
    <xf numFmtId="165" fontId="19" fillId="12" borderId="13" xfId="1" applyFont="1" applyFill="1" applyBorder="1" applyAlignment="1" applyProtection="1">
      <alignment horizontal="center"/>
      <protection locked="0"/>
    </xf>
    <xf numFmtId="165" fontId="19" fillId="0" borderId="0" xfId="1" applyFont="1" applyAlignment="1">
      <alignment horizontal="left"/>
    </xf>
    <xf numFmtId="166" fontId="6" fillId="12" borderId="26" xfId="2" applyNumberFormat="1" applyFont="1" applyFill="1" applyBorder="1" applyAlignment="1">
      <alignment horizontal="center"/>
    </xf>
    <xf numFmtId="2" fontId="6" fillId="12" borderId="14" xfId="2" applyNumberFormat="1" applyFont="1" applyFill="1" applyBorder="1" applyAlignment="1">
      <alignment horizontal="center"/>
    </xf>
    <xf numFmtId="2" fontId="6" fillId="12" borderId="29" xfId="2" applyNumberFormat="1" applyFont="1" applyFill="1" applyBorder="1" applyAlignment="1">
      <alignment horizontal="center"/>
    </xf>
    <xf numFmtId="2" fontId="6" fillId="12" borderId="7" xfId="2" applyNumberFormat="1" applyFont="1" applyFill="1" applyBorder="1" applyAlignment="1">
      <alignment horizontal="center"/>
    </xf>
    <xf numFmtId="165" fontId="6" fillId="12" borderId="0" xfId="1" applyFont="1" applyFill="1" applyAlignment="1">
      <alignment horizontal="center"/>
    </xf>
    <xf numFmtId="166" fontId="6" fillId="12" borderId="27" xfId="2" applyNumberFormat="1" applyFont="1" applyFill="1" applyBorder="1" applyAlignment="1">
      <alignment horizontal="center"/>
    </xf>
    <xf numFmtId="2" fontId="6" fillId="12" borderId="1" xfId="2" applyNumberFormat="1" applyFont="1" applyFill="1" applyBorder="1" applyAlignment="1">
      <alignment horizontal="center"/>
    </xf>
    <xf numFmtId="2" fontId="6" fillId="12" borderId="10" xfId="2" applyNumberFormat="1" applyFont="1" applyFill="1" applyBorder="1" applyAlignment="1">
      <alignment horizontal="center"/>
    </xf>
    <xf numFmtId="2" fontId="6" fillId="12" borderId="2" xfId="2" applyNumberFormat="1" applyFont="1" applyFill="1" applyBorder="1" applyAlignment="1">
      <alignment horizontal="center"/>
    </xf>
    <xf numFmtId="166" fontId="6" fillId="12" borderId="28" xfId="2" applyNumberFormat="1" applyFont="1" applyFill="1" applyBorder="1" applyAlignment="1">
      <alignment horizontal="center"/>
    </xf>
    <xf numFmtId="2" fontId="6" fillId="12" borderId="3" xfId="2" applyNumberFormat="1" applyFont="1" applyFill="1" applyBorder="1" applyAlignment="1">
      <alignment horizontal="center"/>
    </xf>
    <xf numFmtId="2" fontId="6" fillId="12" borderId="11" xfId="2" applyNumberFormat="1" applyFont="1" applyFill="1" applyBorder="1" applyAlignment="1">
      <alignment horizontal="center"/>
    </xf>
    <xf numFmtId="2" fontId="6" fillId="12" borderId="5" xfId="2" applyNumberFormat="1" applyFont="1" applyFill="1" applyBorder="1" applyAlignment="1">
      <alignment horizontal="center"/>
    </xf>
    <xf numFmtId="165" fontId="6" fillId="12" borderId="4" xfId="1" applyFont="1" applyFill="1" applyBorder="1" applyAlignment="1">
      <alignment horizontal="center"/>
    </xf>
    <xf numFmtId="165" fontId="6" fillId="12" borderId="15" xfId="1" applyFont="1" applyFill="1" applyBorder="1" applyAlignment="1">
      <alignment horizontal="left"/>
    </xf>
    <xf numFmtId="165" fontId="6" fillId="12" borderId="6" xfId="1" applyFont="1" applyFill="1" applyBorder="1"/>
    <xf numFmtId="166" fontId="6" fillId="12" borderId="15" xfId="1" applyNumberFormat="1" applyFont="1" applyFill="1" applyBorder="1" applyAlignment="1">
      <alignment horizontal="right"/>
    </xf>
    <xf numFmtId="168" fontId="6" fillId="12" borderId="6" xfId="1" applyNumberFormat="1" applyFont="1" applyFill="1" applyBorder="1" applyAlignment="1">
      <alignment horizontal="right"/>
    </xf>
    <xf numFmtId="166" fontId="6" fillId="12" borderId="6" xfId="1" applyNumberFormat="1" applyFont="1" applyFill="1" applyBorder="1"/>
    <xf numFmtId="165" fontId="6" fillId="12" borderId="14" xfId="1" applyFont="1" applyFill="1" applyBorder="1"/>
    <xf numFmtId="167" fontId="6" fillId="12" borderId="7" xfId="1" applyNumberFormat="1" applyFont="1" applyFill="1" applyBorder="1"/>
    <xf numFmtId="1" fontId="6" fillId="12" borderId="16" xfId="1" applyNumberFormat="1" applyFont="1" applyFill="1" applyBorder="1" applyAlignment="1">
      <alignment horizontal="center" vertical="center"/>
    </xf>
    <xf numFmtId="164" fontId="6" fillId="12" borderId="0" xfId="1" applyNumberFormat="1" applyFont="1" applyFill="1" applyAlignment="1">
      <alignment horizontal="center" vertical="center"/>
    </xf>
    <xf numFmtId="164" fontId="6" fillId="12" borderId="16" xfId="1" applyNumberFormat="1" applyFont="1" applyFill="1" applyBorder="1" applyAlignment="1">
      <alignment horizontal="center" vertical="center"/>
    </xf>
    <xf numFmtId="164" fontId="6" fillId="12" borderId="1" xfId="1" applyNumberFormat="1" applyFont="1" applyFill="1" applyBorder="1" applyAlignment="1">
      <alignment horizontal="center" vertical="center"/>
    </xf>
    <xf numFmtId="164" fontId="6" fillId="12" borderId="2" xfId="1" applyNumberFormat="1" applyFont="1" applyFill="1" applyBorder="1" applyAlignment="1">
      <alignment horizontal="center" vertical="center"/>
    </xf>
    <xf numFmtId="165" fontId="6" fillId="12" borderId="17" xfId="1" applyFont="1" applyFill="1" applyBorder="1"/>
    <xf numFmtId="165" fontId="6" fillId="12" borderId="4" xfId="1" applyFont="1" applyFill="1" applyBorder="1"/>
    <xf numFmtId="166" fontId="6" fillId="12" borderId="17" xfId="1" applyNumberFormat="1" applyFont="1" applyFill="1" applyBorder="1"/>
    <xf numFmtId="166" fontId="6" fillId="12" borderId="4" xfId="1" applyNumberFormat="1" applyFont="1" applyFill="1" applyBorder="1"/>
    <xf numFmtId="167" fontId="6" fillId="12" borderId="4" xfId="1" applyNumberFormat="1" applyFont="1" applyFill="1" applyBorder="1"/>
    <xf numFmtId="167" fontId="6" fillId="12" borderId="5" xfId="1" applyNumberFormat="1" applyFont="1" applyFill="1" applyBorder="1"/>
    <xf numFmtId="165" fontId="6" fillId="0" borderId="24" xfId="1" applyFont="1" applyBorder="1"/>
    <xf numFmtId="165" fontId="6" fillId="0" borderId="12" xfId="1" applyFont="1" applyBorder="1"/>
    <xf numFmtId="165" fontId="19" fillId="0" borderId="12" xfId="1" applyFont="1" applyBorder="1" applyAlignment="1">
      <alignment horizontal="right"/>
    </xf>
    <xf numFmtId="165" fontId="6" fillId="2" borderId="25" xfId="1" applyFont="1" applyFill="1" applyBorder="1" applyAlignment="1">
      <alignment horizontal="center"/>
    </xf>
    <xf numFmtId="166" fontId="6" fillId="0" borderId="12" xfId="1" applyNumberFormat="1" applyFont="1" applyBorder="1"/>
    <xf numFmtId="167" fontId="6" fillId="0" borderId="12" xfId="1" applyNumberFormat="1" applyFont="1" applyBorder="1"/>
    <xf numFmtId="165" fontId="6" fillId="3" borderId="25" xfId="1" applyFont="1" applyFill="1" applyBorder="1" applyAlignment="1">
      <alignment horizontal="center"/>
    </xf>
    <xf numFmtId="167" fontId="6" fillId="4" borderId="13" xfId="1" applyNumberFormat="1" applyFont="1" applyFill="1" applyBorder="1" applyAlignment="1">
      <alignment horizontal="center"/>
    </xf>
    <xf numFmtId="165" fontId="6" fillId="12" borderId="1" xfId="1" applyFont="1" applyFill="1" applyBorder="1" applyAlignment="1">
      <alignment horizontal="center"/>
    </xf>
    <xf numFmtId="165" fontId="6" fillId="12" borderId="2" xfId="1" applyFont="1" applyFill="1" applyBorder="1" applyAlignment="1">
      <alignment horizontal="center"/>
    </xf>
    <xf numFmtId="167" fontId="6" fillId="12" borderId="6" xfId="1" applyNumberFormat="1" applyFont="1" applyFill="1" applyBorder="1"/>
    <xf numFmtId="0" fontId="18" fillId="12" borderId="0" xfId="0" applyFont="1" applyFill="1" applyAlignment="1">
      <alignment vertical="center" textRotation="90"/>
    </xf>
    <xf numFmtId="0" fontId="18" fillId="12" borderId="7" xfId="0" applyFont="1" applyFill="1" applyBorder="1" applyAlignment="1">
      <alignment vertical="center" textRotation="90"/>
    </xf>
    <xf numFmtId="167" fontId="3" fillId="12" borderId="2" xfId="1" applyNumberFormat="1" applyFont="1" applyFill="1" applyBorder="1"/>
    <xf numFmtId="164" fontId="6" fillId="12" borderId="0" xfId="1" applyNumberFormat="1" applyFont="1" applyFill="1" applyAlignment="1">
      <alignment horizontal="center"/>
    </xf>
    <xf numFmtId="165" fontId="6" fillId="5" borderId="7" xfId="1" applyFont="1" applyFill="1" applyBorder="1" applyAlignment="1" applyProtection="1">
      <alignment horizontal="center"/>
      <protection locked="0"/>
    </xf>
    <xf numFmtId="165" fontId="6" fillId="5" borderId="2" xfId="1" applyFont="1" applyFill="1" applyBorder="1" applyAlignment="1" applyProtection="1">
      <alignment horizontal="center"/>
      <protection locked="0"/>
    </xf>
    <xf numFmtId="165" fontId="6" fillId="5" borderId="5" xfId="1" applyFont="1" applyFill="1" applyBorder="1" applyAlignment="1" applyProtection="1">
      <alignment horizontal="center"/>
      <protection locked="0"/>
    </xf>
    <xf numFmtId="165" fontId="19" fillId="5" borderId="0" xfId="1" applyFont="1" applyFill="1" applyAlignment="1" applyProtection="1">
      <alignment horizontal="center"/>
      <protection locked="0"/>
    </xf>
    <xf numFmtId="165" fontId="6" fillId="5" borderId="0" xfId="1" applyFont="1" applyFill="1" applyAlignment="1" applyProtection="1">
      <alignment horizontal="center"/>
      <protection locked="0"/>
    </xf>
    <xf numFmtId="0" fontId="2" fillId="0" borderId="0" xfId="3" applyAlignment="1">
      <alignment horizontal="center"/>
    </xf>
    <xf numFmtId="2" fontId="2" fillId="0" borderId="0" xfId="3" applyNumberFormat="1" applyAlignment="1">
      <alignment horizontal="center"/>
    </xf>
    <xf numFmtId="0" fontId="2" fillId="13" borderId="23" xfId="3" applyFill="1" applyBorder="1" applyAlignment="1">
      <alignment horizontal="center"/>
    </xf>
    <xf numFmtId="165" fontId="6" fillId="0" borderId="0" xfId="2" applyFont="1" applyAlignment="1">
      <alignment horizontal="center"/>
    </xf>
    <xf numFmtId="165" fontId="6" fillId="0" borderId="0" xfId="1" applyFont="1" applyAlignment="1">
      <alignment horizontal="center"/>
    </xf>
    <xf numFmtId="0" fontId="2" fillId="0" borderId="19" xfId="3" applyBorder="1" applyAlignment="1">
      <alignment horizontal="center"/>
    </xf>
    <xf numFmtId="2" fontId="2" fillId="0" borderId="23" xfId="3" applyNumberFormat="1" applyBorder="1" applyAlignment="1">
      <alignment horizontal="center"/>
    </xf>
    <xf numFmtId="9" fontId="2" fillId="0" borderId="36" xfId="780" applyFont="1" applyBorder="1" applyAlignment="1">
      <alignment horizontal="center"/>
    </xf>
    <xf numFmtId="0" fontId="7" fillId="0" borderId="19" xfId="3" applyFont="1" applyBorder="1" applyAlignment="1">
      <alignment horizontal="center"/>
    </xf>
    <xf numFmtId="0" fontId="8" fillId="0" borderId="19" xfId="3" applyFont="1" applyBorder="1" applyAlignment="1">
      <alignment horizontal="center"/>
    </xf>
    <xf numFmtId="0" fontId="9" fillId="0" borderId="19" xfId="3" applyFont="1" applyBorder="1" applyAlignment="1">
      <alignment horizontal="center"/>
    </xf>
    <xf numFmtId="0" fontId="9" fillId="0" borderId="20" xfId="3" applyFont="1" applyBorder="1" applyAlignment="1">
      <alignment horizontal="center"/>
    </xf>
    <xf numFmtId="0" fontId="2" fillId="0" borderId="37" xfId="3" applyBorder="1" applyAlignment="1">
      <alignment horizontal="center"/>
    </xf>
    <xf numFmtId="2" fontId="2" fillId="0" borderId="37" xfId="3" applyNumberFormat="1" applyBorder="1" applyAlignment="1">
      <alignment horizontal="center"/>
    </xf>
    <xf numFmtId="9" fontId="2" fillId="0" borderId="38" xfId="780" applyFont="1" applyBorder="1" applyAlignment="1">
      <alignment horizontal="center"/>
    </xf>
    <xf numFmtId="0" fontId="2" fillId="0" borderId="39" xfId="3" applyBorder="1" applyAlignment="1">
      <alignment horizontal="center"/>
    </xf>
    <xf numFmtId="2" fontId="2" fillId="0" borderId="22" xfId="3" applyNumberFormat="1" applyBorder="1" applyAlignment="1">
      <alignment horizontal="center"/>
    </xf>
    <xf numFmtId="9" fontId="2" fillId="0" borderId="40" xfId="780" applyFont="1" applyBorder="1" applyAlignment="1">
      <alignment horizontal="center"/>
    </xf>
    <xf numFmtId="0" fontId="2" fillId="0" borderId="38" xfId="3" applyBorder="1" applyAlignment="1">
      <alignment horizontal="center"/>
    </xf>
    <xf numFmtId="0" fontId="2" fillId="0" borderId="26" xfId="3" applyBorder="1"/>
    <xf numFmtId="0" fontId="2" fillId="0" borderId="29" xfId="3" applyBorder="1" applyAlignment="1">
      <alignment horizontal="center"/>
    </xf>
    <xf numFmtId="0" fontId="2" fillId="0" borderId="28" xfId="3" applyBorder="1" applyAlignment="1">
      <alignment horizontal="center"/>
    </xf>
    <xf numFmtId="0" fontId="2" fillId="0" borderId="11" xfId="3" applyBorder="1" applyAlignment="1">
      <alignment horizontal="center"/>
    </xf>
    <xf numFmtId="164" fontId="6" fillId="0" borderId="0" xfId="1" applyNumberFormat="1" applyFont="1" applyAlignment="1">
      <alignment horizontal="center"/>
    </xf>
    <xf numFmtId="165" fontId="3" fillId="0" borderId="0" xfId="2" applyFont="1"/>
    <xf numFmtId="0" fontId="23" fillId="0" borderId="0" xfId="0" applyFont="1"/>
    <xf numFmtId="166" fontId="23" fillId="0" borderId="0" xfId="0" applyNumberFormat="1" applyFont="1"/>
    <xf numFmtId="167" fontId="23" fillId="0" borderId="0" xfId="0" applyNumberFormat="1" applyFont="1"/>
    <xf numFmtId="167" fontId="24" fillId="0" borderId="0" xfId="1" applyNumberFormat="1" applyFont="1"/>
    <xf numFmtId="0" fontId="4" fillId="0" borderId="0" xfId="0" applyFont="1" applyAlignment="1">
      <alignment horizontal="right"/>
    </xf>
    <xf numFmtId="165" fontId="24" fillId="0" borderId="0" xfId="1" applyFont="1"/>
    <xf numFmtId="0" fontId="10" fillId="0" borderId="0" xfId="4" applyFont="1" applyAlignment="1">
      <alignment horizontal="left" vertical="center"/>
    </xf>
    <xf numFmtId="0" fontId="11" fillId="0" borderId="0" xfId="4" applyFont="1" applyAlignment="1">
      <alignment horizontal="left" vertical="center"/>
    </xf>
    <xf numFmtId="165" fontId="6" fillId="12" borderId="1" xfId="1" applyFont="1" applyFill="1" applyBorder="1" applyAlignment="1">
      <alignment horizontal="right"/>
    </xf>
    <xf numFmtId="165" fontId="6" fillId="12" borderId="2" xfId="1" applyFont="1" applyFill="1" applyBorder="1" applyAlignment="1">
      <alignment horizontal="right"/>
    </xf>
    <xf numFmtId="165" fontId="6" fillId="12" borderId="1" xfId="1" applyFont="1" applyFill="1" applyBorder="1" applyAlignment="1">
      <alignment horizontal="center"/>
    </xf>
    <xf numFmtId="165" fontId="6" fillId="12" borderId="2" xfId="1" applyFont="1" applyFill="1" applyBorder="1" applyAlignment="1">
      <alignment horizontal="center"/>
    </xf>
    <xf numFmtId="0" fontId="6" fillId="12" borderId="27" xfId="1" applyNumberFormat="1" applyFont="1" applyFill="1" applyBorder="1" applyAlignment="1">
      <alignment horizontal="center" vertical="center" wrapText="1"/>
    </xf>
    <xf numFmtId="0" fontId="6" fillId="12" borderId="28" xfId="1" applyNumberFormat="1" applyFont="1" applyFill="1" applyBorder="1" applyAlignment="1">
      <alignment horizontal="center" vertical="center" wrapText="1"/>
    </xf>
    <xf numFmtId="165" fontId="6" fillId="12" borderId="3" xfId="1" applyFont="1" applyFill="1" applyBorder="1" applyAlignment="1">
      <alignment horizontal="right"/>
    </xf>
    <xf numFmtId="165" fontId="6" fillId="12" borderId="5" xfId="1" applyFont="1" applyFill="1" applyBorder="1" applyAlignment="1">
      <alignment horizontal="right"/>
    </xf>
    <xf numFmtId="165" fontId="6" fillId="12" borderId="14" xfId="1" applyFont="1" applyFill="1" applyBorder="1" applyAlignment="1">
      <alignment horizontal="right"/>
    </xf>
    <xf numFmtId="165" fontId="6" fillId="12" borderId="7" xfId="1" applyFont="1" applyFill="1" applyBorder="1" applyAlignment="1">
      <alignment horizontal="right"/>
    </xf>
    <xf numFmtId="0" fontId="21" fillId="12" borderId="24" xfId="4" applyFont="1" applyFill="1" applyBorder="1" applyAlignment="1">
      <alignment horizontal="center" vertical="center"/>
    </xf>
    <xf numFmtId="0" fontId="21" fillId="12" borderId="12" xfId="4" applyFont="1" applyFill="1" applyBorder="1" applyAlignment="1">
      <alignment horizontal="center" vertical="center"/>
    </xf>
    <xf numFmtId="0" fontId="21" fillId="12" borderId="13" xfId="4" applyFont="1" applyFill="1" applyBorder="1" applyAlignment="1">
      <alignment horizontal="center" vertical="center"/>
    </xf>
    <xf numFmtId="169" fontId="6" fillId="5" borderId="30" xfId="0" applyNumberFormat="1" applyFont="1" applyFill="1" applyBorder="1" applyAlignment="1">
      <alignment horizontal="left" vertical="center"/>
    </xf>
    <xf numFmtId="169" fontId="6" fillId="5" borderId="31" xfId="0" applyNumberFormat="1" applyFont="1" applyFill="1" applyBorder="1" applyAlignment="1">
      <alignment horizontal="left" vertical="center"/>
    </xf>
    <xf numFmtId="169" fontId="6" fillId="5" borderId="32" xfId="0" applyNumberFormat="1" applyFont="1" applyFill="1" applyBorder="1" applyAlignment="1">
      <alignment horizontal="left" vertical="center"/>
    </xf>
    <xf numFmtId="5" fontId="6" fillId="5" borderId="33" xfId="0" applyNumberFormat="1" applyFont="1" applyFill="1" applyBorder="1" applyAlignment="1">
      <alignment horizontal="left" vertical="center"/>
    </xf>
    <xf numFmtId="5" fontId="6" fillId="5" borderId="4" xfId="0" applyNumberFormat="1" applyFont="1" applyFill="1" applyBorder="1" applyAlignment="1">
      <alignment horizontal="left" vertical="center"/>
    </xf>
    <xf numFmtId="5" fontId="6" fillId="5" borderId="5" xfId="0" applyNumberFormat="1" applyFont="1" applyFill="1" applyBorder="1" applyAlignment="1">
      <alignment horizontal="left" vertical="center"/>
    </xf>
    <xf numFmtId="0" fontId="6" fillId="5" borderId="34" xfId="0" applyFont="1" applyFill="1" applyBorder="1" applyAlignment="1">
      <alignment horizontal="left" vertical="center"/>
    </xf>
    <xf numFmtId="0" fontId="6" fillId="5" borderId="35" xfId="0" applyFont="1" applyFill="1" applyBorder="1" applyAlignment="1">
      <alignment horizontal="left" vertical="center"/>
    </xf>
    <xf numFmtId="0" fontId="6" fillId="5" borderId="23" xfId="0" applyFont="1" applyFill="1" applyBorder="1" applyAlignment="1">
      <alignment horizontal="left" vertical="center"/>
    </xf>
    <xf numFmtId="0" fontId="6" fillId="5" borderId="36" xfId="0" applyFont="1" applyFill="1" applyBorder="1" applyAlignment="1">
      <alignment horizontal="left" vertical="center"/>
    </xf>
    <xf numFmtId="49" fontId="6" fillId="5" borderId="23" xfId="0" applyNumberFormat="1" applyFont="1" applyFill="1" applyBorder="1" applyAlignment="1">
      <alignment horizontal="left" vertical="center"/>
    </xf>
    <xf numFmtId="49" fontId="6" fillId="5" borderId="36" xfId="0" applyNumberFormat="1" applyFont="1" applyFill="1" applyBorder="1" applyAlignment="1">
      <alignment horizontal="left" vertical="center"/>
    </xf>
    <xf numFmtId="0" fontId="6" fillId="12" borderId="2" xfId="0" applyFont="1" applyFill="1" applyBorder="1"/>
    <xf numFmtId="165" fontId="6" fillId="12" borderId="24" xfId="1" applyFont="1" applyFill="1" applyBorder="1" applyAlignment="1">
      <alignment horizontal="center"/>
    </xf>
    <xf numFmtId="165" fontId="6" fillId="12" borderId="12" xfId="1" applyFont="1" applyFill="1" applyBorder="1" applyAlignment="1">
      <alignment horizontal="center"/>
    </xf>
    <xf numFmtId="165" fontId="6" fillId="0" borderId="0" xfId="2" applyFont="1" applyAlignment="1">
      <alignment horizontal="center"/>
    </xf>
    <xf numFmtId="0" fontId="18" fillId="4" borderId="15" xfId="0" applyFont="1" applyFill="1" applyBorder="1" applyAlignment="1">
      <alignment horizontal="center" vertical="center" textRotation="90"/>
    </xf>
    <xf numFmtId="0" fontId="18" fillId="4" borderId="16" xfId="0" applyFont="1" applyFill="1" applyBorder="1" applyAlignment="1">
      <alignment horizontal="center" vertical="center" textRotation="90"/>
    </xf>
    <xf numFmtId="0" fontId="18" fillId="4" borderId="17" xfId="0" applyFont="1" applyFill="1" applyBorder="1" applyAlignment="1">
      <alignment horizontal="center" vertical="center" textRotation="90"/>
    </xf>
    <xf numFmtId="165" fontId="6" fillId="12" borderId="8" xfId="1" applyFont="1" applyFill="1" applyBorder="1" applyAlignment="1">
      <alignment horizontal="center" vertical="center" wrapText="1"/>
    </xf>
    <xf numFmtId="165" fontId="6" fillId="12" borderId="9" xfId="1" applyFont="1" applyFill="1" applyBorder="1" applyAlignment="1">
      <alignment horizontal="center" vertical="center" wrapText="1"/>
    </xf>
    <xf numFmtId="0" fontId="2" fillId="0" borderId="34" xfId="3" applyBorder="1" applyAlignment="1">
      <alignment horizontal="center"/>
    </xf>
    <xf numFmtId="0" fontId="2" fillId="0" borderId="35" xfId="3" applyBorder="1" applyAlignment="1">
      <alignment horizontal="center"/>
    </xf>
  </cellXfs>
  <cellStyles count="781">
    <cellStyle name="Comma 2" xfId="6" xr:uid="{00000000-0005-0000-0000-000000000000}"/>
    <cellStyle name="Comma 3" xfId="7" xr:uid="{00000000-0005-0000-0000-000001000000}"/>
    <cellStyle name="Comma 4" xfId="8" xr:uid="{00000000-0005-0000-0000-000002000000}"/>
    <cellStyle name="Comma 4 2" xfId="9" xr:uid="{00000000-0005-0000-0000-000003000000}"/>
    <cellStyle name="Comma 4 2 2" xfId="10" xr:uid="{00000000-0005-0000-0000-000004000000}"/>
    <cellStyle name="Comma 4 2 2 2" xfId="11" xr:uid="{00000000-0005-0000-0000-000005000000}"/>
    <cellStyle name="Comma 4 2 2 3" xfId="12" xr:uid="{00000000-0005-0000-0000-000006000000}"/>
    <cellStyle name="Comma 4 2 3" xfId="13" xr:uid="{00000000-0005-0000-0000-000007000000}"/>
    <cellStyle name="Comma 4 2 4" xfId="14" xr:uid="{00000000-0005-0000-0000-000008000000}"/>
    <cellStyle name="Comma 4 2 5" xfId="15" xr:uid="{00000000-0005-0000-0000-000009000000}"/>
    <cellStyle name="Comma 4 3" xfId="16" xr:uid="{00000000-0005-0000-0000-00000A000000}"/>
    <cellStyle name="Comma 4 3 2" xfId="17" xr:uid="{00000000-0005-0000-0000-00000B000000}"/>
    <cellStyle name="Comma 4 3 3" xfId="18" xr:uid="{00000000-0005-0000-0000-00000C000000}"/>
    <cellStyle name="Comma 4 4" xfId="19" xr:uid="{00000000-0005-0000-0000-00000D000000}"/>
    <cellStyle name="Comma 4 5" xfId="20" xr:uid="{00000000-0005-0000-0000-00000E000000}"/>
    <cellStyle name="Comma 4 6" xfId="21" xr:uid="{00000000-0005-0000-0000-00000F000000}"/>
    <cellStyle name="Comma 5" xfId="22" xr:uid="{00000000-0005-0000-0000-000010000000}"/>
    <cellStyle name="Comma 5 2" xfId="23" xr:uid="{00000000-0005-0000-0000-000011000000}"/>
    <cellStyle name="Comma 5 2 2" xfId="24" xr:uid="{00000000-0005-0000-0000-000012000000}"/>
    <cellStyle name="Comma 5 2 2 2" xfId="25" xr:uid="{00000000-0005-0000-0000-000013000000}"/>
    <cellStyle name="Comma 5 2 2 3" xfId="26" xr:uid="{00000000-0005-0000-0000-000014000000}"/>
    <cellStyle name="Comma 5 2 3" xfId="27" xr:uid="{00000000-0005-0000-0000-000015000000}"/>
    <cellStyle name="Comma 5 2 4" xfId="28" xr:uid="{00000000-0005-0000-0000-000016000000}"/>
    <cellStyle name="Comma 5 2 5" xfId="29" xr:uid="{00000000-0005-0000-0000-000017000000}"/>
    <cellStyle name="Comma 5 3" xfId="30" xr:uid="{00000000-0005-0000-0000-000018000000}"/>
    <cellStyle name="Comma 5 3 2" xfId="31" xr:uid="{00000000-0005-0000-0000-000019000000}"/>
    <cellStyle name="Comma 5 3 3" xfId="32" xr:uid="{00000000-0005-0000-0000-00001A000000}"/>
    <cellStyle name="Comma 5 4" xfId="33" xr:uid="{00000000-0005-0000-0000-00001B000000}"/>
    <cellStyle name="Comma 5 5" xfId="34" xr:uid="{00000000-0005-0000-0000-00001C000000}"/>
    <cellStyle name="Comma 5 6" xfId="35" xr:uid="{00000000-0005-0000-0000-00001D000000}"/>
    <cellStyle name="Normal" xfId="0" builtinId="0"/>
    <cellStyle name="Normal 10" xfId="36" xr:uid="{00000000-0005-0000-0000-00001F000000}"/>
    <cellStyle name="Normal 10 10" xfId="37" xr:uid="{00000000-0005-0000-0000-000020000000}"/>
    <cellStyle name="Normal 10 11" xfId="38" xr:uid="{00000000-0005-0000-0000-000021000000}"/>
    <cellStyle name="Normal 10 12" xfId="39" xr:uid="{00000000-0005-0000-0000-000022000000}"/>
    <cellStyle name="Normal 10 13" xfId="40" xr:uid="{00000000-0005-0000-0000-000023000000}"/>
    <cellStyle name="Normal 10 14" xfId="41" xr:uid="{00000000-0005-0000-0000-000024000000}"/>
    <cellStyle name="Normal 10 15" xfId="42" xr:uid="{00000000-0005-0000-0000-000025000000}"/>
    <cellStyle name="Normal 10 16" xfId="43" xr:uid="{00000000-0005-0000-0000-000026000000}"/>
    <cellStyle name="Normal 10 17" xfId="44" xr:uid="{00000000-0005-0000-0000-000027000000}"/>
    <cellStyle name="Normal 10 18" xfId="45" xr:uid="{00000000-0005-0000-0000-000028000000}"/>
    <cellStyle name="Normal 10 19" xfId="46" xr:uid="{00000000-0005-0000-0000-000029000000}"/>
    <cellStyle name="Normal 10 2" xfId="47" xr:uid="{00000000-0005-0000-0000-00002A000000}"/>
    <cellStyle name="Normal 10 20" xfId="48" xr:uid="{00000000-0005-0000-0000-00002B000000}"/>
    <cellStyle name="Normal 10 21" xfId="49" xr:uid="{00000000-0005-0000-0000-00002C000000}"/>
    <cellStyle name="Normal 10 22" xfId="50" xr:uid="{00000000-0005-0000-0000-00002D000000}"/>
    <cellStyle name="Normal 10 3" xfId="51" xr:uid="{00000000-0005-0000-0000-00002E000000}"/>
    <cellStyle name="Normal 10 4" xfId="52" xr:uid="{00000000-0005-0000-0000-00002F000000}"/>
    <cellStyle name="Normal 10 5" xfId="53" xr:uid="{00000000-0005-0000-0000-000030000000}"/>
    <cellStyle name="Normal 10 6" xfId="54" xr:uid="{00000000-0005-0000-0000-000031000000}"/>
    <cellStyle name="Normal 10 7" xfId="55" xr:uid="{00000000-0005-0000-0000-000032000000}"/>
    <cellStyle name="Normal 10 8" xfId="56" xr:uid="{00000000-0005-0000-0000-000033000000}"/>
    <cellStyle name="Normal 10 9" xfId="57" xr:uid="{00000000-0005-0000-0000-000034000000}"/>
    <cellStyle name="Normal 11" xfId="58" xr:uid="{00000000-0005-0000-0000-000035000000}"/>
    <cellStyle name="Normal 11 10" xfId="59" xr:uid="{00000000-0005-0000-0000-000036000000}"/>
    <cellStyle name="Normal 11 11" xfId="60" xr:uid="{00000000-0005-0000-0000-000037000000}"/>
    <cellStyle name="Normal 11 12" xfId="61" xr:uid="{00000000-0005-0000-0000-000038000000}"/>
    <cellStyle name="Normal 11 13" xfId="62" xr:uid="{00000000-0005-0000-0000-000039000000}"/>
    <cellStyle name="Normal 11 14" xfId="63" xr:uid="{00000000-0005-0000-0000-00003A000000}"/>
    <cellStyle name="Normal 11 15" xfId="64" xr:uid="{00000000-0005-0000-0000-00003B000000}"/>
    <cellStyle name="Normal 11 16" xfId="65" xr:uid="{00000000-0005-0000-0000-00003C000000}"/>
    <cellStyle name="Normal 11 17" xfId="66" xr:uid="{00000000-0005-0000-0000-00003D000000}"/>
    <cellStyle name="Normal 11 18" xfId="67" xr:uid="{00000000-0005-0000-0000-00003E000000}"/>
    <cellStyle name="Normal 11 19" xfId="68" xr:uid="{00000000-0005-0000-0000-00003F000000}"/>
    <cellStyle name="Normal 11 2" xfId="69" xr:uid="{00000000-0005-0000-0000-000040000000}"/>
    <cellStyle name="Normal 11 20" xfId="70" xr:uid="{00000000-0005-0000-0000-000041000000}"/>
    <cellStyle name="Normal 11 21" xfId="71" xr:uid="{00000000-0005-0000-0000-000042000000}"/>
    <cellStyle name="Normal 11 22" xfId="72" xr:uid="{00000000-0005-0000-0000-000043000000}"/>
    <cellStyle name="Normal 11 3" xfId="73" xr:uid="{00000000-0005-0000-0000-000044000000}"/>
    <cellStyle name="Normal 11 4" xfId="74" xr:uid="{00000000-0005-0000-0000-000045000000}"/>
    <cellStyle name="Normal 11 5" xfId="75" xr:uid="{00000000-0005-0000-0000-000046000000}"/>
    <cellStyle name="Normal 11 6" xfId="76" xr:uid="{00000000-0005-0000-0000-000047000000}"/>
    <cellStyle name="Normal 11 7" xfId="77" xr:uid="{00000000-0005-0000-0000-000048000000}"/>
    <cellStyle name="Normal 11 8" xfId="78" xr:uid="{00000000-0005-0000-0000-000049000000}"/>
    <cellStyle name="Normal 11 9" xfId="79" xr:uid="{00000000-0005-0000-0000-00004A000000}"/>
    <cellStyle name="Normal 12" xfId="80" xr:uid="{00000000-0005-0000-0000-00004B000000}"/>
    <cellStyle name="Normal 12 10" xfId="81" xr:uid="{00000000-0005-0000-0000-00004C000000}"/>
    <cellStyle name="Normal 12 11" xfId="82" xr:uid="{00000000-0005-0000-0000-00004D000000}"/>
    <cellStyle name="Normal 12 12" xfId="83" xr:uid="{00000000-0005-0000-0000-00004E000000}"/>
    <cellStyle name="Normal 12 13" xfId="84" xr:uid="{00000000-0005-0000-0000-00004F000000}"/>
    <cellStyle name="Normal 12 14" xfId="85" xr:uid="{00000000-0005-0000-0000-000050000000}"/>
    <cellStyle name="Normal 12 15" xfId="86" xr:uid="{00000000-0005-0000-0000-000051000000}"/>
    <cellStyle name="Normal 12 16" xfId="87" xr:uid="{00000000-0005-0000-0000-000052000000}"/>
    <cellStyle name="Normal 12 17" xfId="88" xr:uid="{00000000-0005-0000-0000-000053000000}"/>
    <cellStyle name="Normal 12 18" xfId="89" xr:uid="{00000000-0005-0000-0000-000054000000}"/>
    <cellStyle name="Normal 12 19" xfId="90" xr:uid="{00000000-0005-0000-0000-000055000000}"/>
    <cellStyle name="Normal 12 2" xfId="91" xr:uid="{00000000-0005-0000-0000-000056000000}"/>
    <cellStyle name="Normal 12 20" xfId="92" xr:uid="{00000000-0005-0000-0000-000057000000}"/>
    <cellStyle name="Normal 12 21" xfId="93" xr:uid="{00000000-0005-0000-0000-000058000000}"/>
    <cellStyle name="Normal 12 22" xfId="94" xr:uid="{00000000-0005-0000-0000-000059000000}"/>
    <cellStyle name="Normal 12 3" xfId="95" xr:uid="{00000000-0005-0000-0000-00005A000000}"/>
    <cellStyle name="Normal 12 4" xfId="96" xr:uid="{00000000-0005-0000-0000-00005B000000}"/>
    <cellStyle name="Normal 12 5" xfId="97" xr:uid="{00000000-0005-0000-0000-00005C000000}"/>
    <cellStyle name="Normal 12 6" xfId="98" xr:uid="{00000000-0005-0000-0000-00005D000000}"/>
    <cellStyle name="Normal 12 7" xfId="99" xr:uid="{00000000-0005-0000-0000-00005E000000}"/>
    <cellStyle name="Normal 12 8" xfId="100" xr:uid="{00000000-0005-0000-0000-00005F000000}"/>
    <cellStyle name="Normal 12 9" xfId="101" xr:uid="{00000000-0005-0000-0000-000060000000}"/>
    <cellStyle name="Normal 13" xfId="102" xr:uid="{00000000-0005-0000-0000-000061000000}"/>
    <cellStyle name="Normal 13 10" xfId="103" xr:uid="{00000000-0005-0000-0000-000062000000}"/>
    <cellStyle name="Normal 13 11" xfId="104" xr:uid="{00000000-0005-0000-0000-000063000000}"/>
    <cellStyle name="Normal 13 12" xfId="105" xr:uid="{00000000-0005-0000-0000-000064000000}"/>
    <cellStyle name="Normal 13 13" xfId="106" xr:uid="{00000000-0005-0000-0000-000065000000}"/>
    <cellStyle name="Normal 13 14" xfId="107" xr:uid="{00000000-0005-0000-0000-000066000000}"/>
    <cellStyle name="Normal 13 15" xfId="108" xr:uid="{00000000-0005-0000-0000-000067000000}"/>
    <cellStyle name="Normal 13 16" xfId="109" xr:uid="{00000000-0005-0000-0000-000068000000}"/>
    <cellStyle name="Normal 13 17" xfId="110" xr:uid="{00000000-0005-0000-0000-000069000000}"/>
    <cellStyle name="Normal 13 18" xfId="111" xr:uid="{00000000-0005-0000-0000-00006A000000}"/>
    <cellStyle name="Normal 13 19" xfId="112" xr:uid="{00000000-0005-0000-0000-00006B000000}"/>
    <cellStyle name="Normal 13 2" xfId="113" xr:uid="{00000000-0005-0000-0000-00006C000000}"/>
    <cellStyle name="Normal 13 20" xfId="114" xr:uid="{00000000-0005-0000-0000-00006D000000}"/>
    <cellStyle name="Normal 13 21" xfId="115" xr:uid="{00000000-0005-0000-0000-00006E000000}"/>
    <cellStyle name="Normal 13 22" xfId="116" xr:uid="{00000000-0005-0000-0000-00006F000000}"/>
    <cellStyle name="Normal 13 3" xfId="117" xr:uid="{00000000-0005-0000-0000-000070000000}"/>
    <cellStyle name="Normal 13 4" xfId="118" xr:uid="{00000000-0005-0000-0000-000071000000}"/>
    <cellStyle name="Normal 13 5" xfId="119" xr:uid="{00000000-0005-0000-0000-000072000000}"/>
    <cellStyle name="Normal 13 6" xfId="120" xr:uid="{00000000-0005-0000-0000-000073000000}"/>
    <cellStyle name="Normal 13 7" xfId="121" xr:uid="{00000000-0005-0000-0000-000074000000}"/>
    <cellStyle name="Normal 13 8" xfId="122" xr:uid="{00000000-0005-0000-0000-000075000000}"/>
    <cellStyle name="Normal 13 9" xfId="123" xr:uid="{00000000-0005-0000-0000-000076000000}"/>
    <cellStyle name="Normal 14" xfId="124" xr:uid="{00000000-0005-0000-0000-000077000000}"/>
    <cellStyle name="Normal 14 10" xfId="125" xr:uid="{00000000-0005-0000-0000-000078000000}"/>
    <cellStyle name="Normal 14 11" xfId="126" xr:uid="{00000000-0005-0000-0000-000079000000}"/>
    <cellStyle name="Normal 14 12" xfId="127" xr:uid="{00000000-0005-0000-0000-00007A000000}"/>
    <cellStyle name="Normal 14 13" xfId="128" xr:uid="{00000000-0005-0000-0000-00007B000000}"/>
    <cellStyle name="Normal 14 14" xfId="129" xr:uid="{00000000-0005-0000-0000-00007C000000}"/>
    <cellStyle name="Normal 14 15" xfId="130" xr:uid="{00000000-0005-0000-0000-00007D000000}"/>
    <cellStyle name="Normal 14 16" xfId="131" xr:uid="{00000000-0005-0000-0000-00007E000000}"/>
    <cellStyle name="Normal 14 17" xfId="132" xr:uid="{00000000-0005-0000-0000-00007F000000}"/>
    <cellStyle name="Normal 14 18" xfId="133" xr:uid="{00000000-0005-0000-0000-000080000000}"/>
    <cellStyle name="Normal 14 19" xfId="134" xr:uid="{00000000-0005-0000-0000-000081000000}"/>
    <cellStyle name="Normal 14 2" xfId="135" xr:uid="{00000000-0005-0000-0000-000082000000}"/>
    <cellStyle name="Normal 14 20" xfId="136" xr:uid="{00000000-0005-0000-0000-000083000000}"/>
    <cellStyle name="Normal 14 21" xfId="137" xr:uid="{00000000-0005-0000-0000-000084000000}"/>
    <cellStyle name="Normal 14 22" xfId="138" xr:uid="{00000000-0005-0000-0000-000085000000}"/>
    <cellStyle name="Normal 14 3" xfId="139" xr:uid="{00000000-0005-0000-0000-000086000000}"/>
    <cellStyle name="Normal 14 4" xfId="140" xr:uid="{00000000-0005-0000-0000-000087000000}"/>
    <cellStyle name="Normal 14 5" xfId="141" xr:uid="{00000000-0005-0000-0000-000088000000}"/>
    <cellStyle name="Normal 14 6" xfId="142" xr:uid="{00000000-0005-0000-0000-000089000000}"/>
    <cellStyle name="Normal 14 7" xfId="143" xr:uid="{00000000-0005-0000-0000-00008A000000}"/>
    <cellStyle name="Normal 14 8" xfId="144" xr:uid="{00000000-0005-0000-0000-00008B000000}"/>
    <cellStyle name="Normal 14 9" xfId="145" xr:uid="{00000000-0005-0000-0000-00008C000000}"/>
    <cellStyle name="Normal 15" xfId="146" xr:uid="{00000000-0005-0000-0000-00008D000000}"/>
    <cellStyle name="Normal 15 10" xfId="147" xr:uid="{00000000-0005-0000-0000-00008E000000}"/>
    <cellStyle name="Normal 15 11" xfId="148" xr:uid="{00000000-0005-0000-0000-00008F000000}"/>
    <cellStyle name="Normal 15 12" xfId="149" xr:uid="{00000000-0005-0000-0000-000090000000}"/>
    <cellStyle name="Normal 15 13" xfId="150" xr:uid="{00000000-0005-0000-0000-000091000000}"/>
    <cellStyle name="Normal 15 14" xfId="151" xr:uid="{00000000-0005-0000-0000-000092000000}"/>
    <cellStyle name="Normal 15 15" xfId="152" xr:uid="{00000000-0005-0000-0000-000093000000}"/>
    <cellStyle name="Normal 15 16" xfId="153" xr:uid="{00000000-0005-0000-0000-000094000000}"/>
    <cellStyle name="Normal 15 17" xfId="154" xr:uid="{00000000-0005-0000-0000-000095000000}"/>
    <cellStyle name="Normal 15 18" xfId="155" xr:uid="{00000000-0005-0000-0000-000096000000}"/>
    <cellStyle name="Normal 15 19" xfId="156" xr:uid="{00000000-0005-0000-0000-000097000000}"/>
    <cellStyle name="Normal 15 2" xfId="157" xr:uid="{00000000-0005-0000-0000-000098000000}"/>
    <cellStyle name="Normal 15 20" xfId="158" xr:uid="{00000000-0005-0000-0000-000099000000}"/>
    <cellStyle name="Normal 15 21" xfId="159" xr:uid="{00000000-0005-0000-0000-00009A000000}"/>
    <cellStyle name="Normal 15 22" xfId="160" xr:uid="{00000000-0005-0000-0000-00009B000000}"/>
    <cellStyle name="Normal 15 3" xfId="161" xr:uid="{00000000-0005-0000-0000-00009C000000}"/>
    <cellStyle name="Normal 15 4" xfId="162" xr:uid="{00000000-0005-0000-0000-00009D000000}"/>
    <cellStyle name="Normal 15 5" xfId="163" xr:uid="{00000000-0005-0000-0000-00009E000000}"/>
    <cellStyle name="Normal 15 6" xfId="164" xr:uid="{00000000-0005-0000-0000-00009F000000}"/>
    <cellStyle name="Normal 15 7" xfId="165" xr:uid="{00000000-0005-0000-0000-0000A0000000}"/>
    <cellStyle name="Normal 15 8" xfId="166" xr:uid="{00000000-0005-0000-0000-0000A1000000}"/>
    <cellStyle name="Normal 15 9" xfId="167" xr:uid="{00000000-0005-0000-0000-0000A2000000}"/>
    <cellStyle name="Normal 16" xfId="168" xr:uid="{00000000-0005-0000-0000-0000A3000000}"/>
    <cellStyle name="Normal 16 10" xfId="169" xr:uid="{00000000-0005-0000-0000-0000A4000000}"/>
    <cellStyle name="Normal 16 11" xfId="170" xr:uid="{00000000-0005-0000-0000-0000A5000000}"/>
    <cellStyle name="Normal 16 12" xfId="171" xr:uid="{00000000-0005-0000-0000-0000A6000000}"/>
    <cellStyle name="Normal 16 13" xfId="172" xr:uid="{00000000-0005-0000-0000-0000A7000000}"/>
    <cellStyle name="Normal 16 14" xfId="173" xr:uid="{00000000-0005-0000-0000-0000A8000000}"/>
    <cellStyle name="Normal 16 15" xfId="174" xr:uid="{00000000-0005-0000-0000-0000A9000000}"/>
    <cellStyle name="Normal 16 16" xfId="175" xr:uid="{00000000-0005-0000-0000-0000AA000000}"/>
    <cellStyle name="Normal 16 17" xfId="176" xr:uid="{00000000-0005-0000-0000-0000AB000000}"/>
    <cellStyle name="Normal 16 18" xfId="177" xr:uid="{00000000-0005-0000-0000-0000AC000000}"/>
    <cellStyle name="Normal 16 19" xfId="178" xr:uid="{00000000-0005-0000-0000-0000AD000000}"/>
    <cellStyle name="Normal 16 2" xfId="179" xr:uid="{00000000-0005-0000-0000-0000AE000000}"/>
    <cellStyle name="Normal 16 20" xfId="180" xr:uid="{00000000-0005-0000-0000-0000AF000000}"/>
    <cellStyle name="Normal 16 21" xfId="181" xr:uid="{00000000-0005-0000-0000-0000B0000000}"/>
    <cellStyle name="Normal 16 22" xfId="182" xr:uid="{00000000-0005-0000-0000-0000B1000000}"/>
    <cellStyle name="Normal 16 3" xfId="183" xr:uid="{00000000-0005-0000-0000-0000B2000000}"/>
    <cellStyle name="Normal 16 4" xfId="184" xr:uid="{00000000-0005-0000-0000-0000B3000000}"/>
    <cellStyle name="Normal 16 5" xfId="185" xr:uid="{00000000-0005-0000-0000-0000B4000000}"/>
    <cellStyle name="Normal 16 6" xfId="186" xr:uid="{00000000-0005-0000-0000-0000B5000000}"/>
    <cellStyle name="Normal 16 7" xfId="187" xr:uid="{00000000-0005-0000-0000-0000B6000000}"/>
    <cellStyle name="Normal 16 8" xfId="188" xr:uid="{00000000-0005-0000-0000-0000B7000000}"/>
    <cellStyle name="Normal 16 9" xfId="189" xr:uid="{00000000-0005-0000-0000-0000B8000000}"/>
    <cellStyle name="Normal 17" xfId="190" xr:uid="{00000000-0005-0000-0000-0000B9000000}"/>
    <cellStyle name="Normal 17 10" xfId="191" xr:uid="{00000000-0005-0000-0000-0000BA000000}"/>
    <cellStyle name="Normal 17 11" xfId="192" xr:uid="{00000000-0005-0000-0000-0000BB000000}"/>
    <cellStyle name="Normal 17 12" xfId="193" xr:uid="{00000000-0005-0000-0000-0000BC000000}"/>
    <cellStyle name="Normal 17 13" xfId="194" xr:uid="{00000000-0005-0000-0000-0000BD000000}"/>
    <cellStyle name="Normal 17 14" xfId="195" xr:uid="{00000000-0005-0000-0000-0000BE000000}"/>
    <cellStyle name="Normal 17 15" xfId="196" xr:uid="{00000000-0005-0000-0000-0000BF000000}"/>
    <cellStyle name="Normal 17 16" xfId="197" xr:uid="{00000000-0005-0000-0000-0000C0000000}"/>
    <cellStyle name="Normal 17 17" xfId="198" xr:uid="{00000000-0005-0000-0000-0000C1000000}"/>
    <cellStyle name="Normal 17 18" xfId="199" xr:uid="{00000000-0005-0000-0000-0000C2000000}"/>
    <cellStyle name="Normal 17 19" xfId="200" xr:uid="{00000000-0005-0000-0000-0000C3000000}"/>
    <cellStyle name="Normal 17 2" xfId="201" xr:uid="{00000000-0005-0000-0000-0000C4000000}"/>
    <cellStyle name="Normal 17 20" xfId="202" xr:uid="{00000000-0005-0000-0000-0000C5000000}"/>
    <cellStyle name="Normal 17 21" xfId="203" xr:uid="{00000000-0005-0000-0000-0000C6000000}"/>
    <cellStyle name="Normal 17 22" xfId="204" xr:uid="{00000000-0005-0000-0000-0000C7000000}"/>
    <cellStyle name="Normal 17 3" xfId="205" xr:uid="{00000000-0005-0000-0000-0000C8000000}"/>
    <cellStyle name="Normal 17 4" xfId="206" xr:uid="{00000000-0005-0000-0000-0000C9000000}"/>
    <cellStyle name="Normal 17 5" xfId="207" xr:uid="{00000000-0005-0000-0000-0000CA000000}"/>
    <cellStyle name="Normal 17 6" xfId="208" xr:uid="{00000000-0005-0000-0000-0000CB000000}"/>
    <cellStyle name="Normal 17 7" xfId="209" xr:uid="{00000000-0005-0000-0000-0000CC000000}"/>
    <cellStyle name="Normal 17 8" xfId="210" xr:uid="{00000000-0005-0000-0000-0000CD000000}"/>
    <cellStyle name="Normal 17 9" xfId="211" xr:uid="{00000000-0005-0000-0000-0000CE000000}"/>
    <cellStyle name="Normal 18" xfId="212" xr:uid="{00000000-0005-0000-0000-0000CF000000}"/>
    <cellStyle name="Normal 18 10" xfId="213" xr:uid="{00000000-0005-0000-0000-0000D0000000}"/>
    <cellStyle name="Normal 18 11" xfId="214" xr:uid="{00000000-0005-0000-0000-0000D1000000}"/>
    <cellStyle name="Normal 18 12" xfId="215" xr:uid="{00000000-0005-0000-0000-0000D2000000}"/>
    <cellStyle name="Normal 18 13" xfId="216" xr:uid="{00000000-0005-0000-0000-0000D3000000}"/>
    <cellStyle name="Normal 18 14" xfId="217" xr:uid="{00000000-0005-0000-0000-0000D4000000}"/>
    <cellStyle name="Normal 18 15" xfId="218" xr:uid="{00000000-0005-0000-0000-0000D5000000}"/>
    <cellStyle name="Normal 18 16" xfId="219" xr:uid="{00000000-0005-0000-0000-0000D6000000}"/>
    <cellStyle name="Normal 18 17" xfId="220" xr:uid="{00000000-0005-0000-0000-0000D7000000}"/>
    <cellStyle name="Normal 18 18" xfId="221" xr:uid="{00000000-0005-0000-0000-0000D8000000}"/>
    <cellStyle name="Normal 18 19" xfId="222" xr:uid="{00000000-0005-0000-0000-0000D9000000}"/>
    <cellStyle name="Normal 18 2" xfId="223" xr:uid="{00000000-0005-0000-0000-0000DA000000}"/>
    <cellStyle name="Normal 18 20" xfId="224" xr:uid="{00000000-0005-0000-0000-0000DB000000}"/>
    <cellStyle name="Normal 18 21" xfId="225" xr:uid="{00000000-0005-0000-0000-0000DC000000}"/>
    <cellStyle name="Normal 18 22" xfId="226" xr:uid="{00000000-0005-0000-0000-0000DD000000}"/>
    <cellStyle name="Normal 18 3" xfId="227" xr:uid="{00000000-0005-0000-0000-0000DE000000}"/>
    <cellStyle name="Normal 18 4" xfId="228" xr:uid="{00000000-0005-0000-0000-0000DF000000}"/>
    <cellStyle name="Normal 18 5" xfId="229" xr:uid="{00000000-0005-0000-0000-0000E0000000}"/>
    <cellStyle name="Normal 18 6" xfId="230" xr:uid="{00000000-0005-0000-0000-0000E1000000}"/>
    <cellStyle name="Normal 18 7" xfId="231" xr:uid="{00000000-0005-0000-0000-0000E2000000}"/>
    <cellStyle name="Normal 18 8" xfId="232" xr:uid="{00000000-0005-0000-0000-0000E3000000}"/>
    <cellStyle name="Normal 18 9" xfId="233" xr:uid="{00000000-0005-0000-0000-0000E4000000}"/>
    <cellStyle name="Normal 19" xfId="234" xr:uid="{00000000-0005-0000-0000-0000E5000000}"/>
    <cellStyle name="Normal 19 10" xfId="235" xr:uid="{00000000-0005-0000-0000-0000E6000000}"/>
    <cellStyle name="Normal 19 11" xfId="236" xr:uid="{00000000-0005-0000-0000-0000E7000000}"/>
    <cellStyle name="Normal 19 12" xfId="237" xr:uid="{00000000-0005-0000-0000-0000E8000000}"/>
    <cellStyle name="Normal 19 13" xfId="238" xr:uid="{00000000-0005-0000-0000-0000E9000000}"/>
    <cellStyle name="Normal 19 14" xfId="239" xr:uid="{00000000-0005-0000-0000-0000EA000000}"/>
    <cellStyle name="Normal 19 15" xfId="240" xr:uid="{00000000-0005-0000-0000-0000EB000000}"/>
    <cellStyle name="Normal 19 16" xfId="241" xr:uid="{00000000-0005-0000-0000-0000EC000000}"/>
    <cellStyle name="Normal 19 17" xfId="242" xr:uid="{00000000-0005-0000-0000-0000ED000000}"/>
    <cellStyle name="Normal 19 18" xfId="243" xr:uid="{00000000-0005-0000-0000-0000EE000000}"/>
    <cellStyle name="Normal 19 19" xfId="244" xr:uid="{00000000-0005-0000-0000-0000EF000000}"/>
    <cellStyle name="Normal 19 2" xfId="245" xr:uid="{00000000-0005-0000-0000-0000F0000000}"/>
    <cellStyle name="Normal 19 20" xfId="246" xr:uid="{00000000-0005-0000-0000-0000F1000000}"/>
    <cellStyle name="Normal 19 21" xfId="247" xr:uid="{00000000-0005-0000-0000-0000F2000000}"/>
    <cellStyle name="Normal 19 22" xfId="248" xr:uid="{00000000-0005-0000-0000-0000F3000000}"/>
    <cellStyle name="Normal 19 3" xfId="249" xr:uid="{00000000-0005-0000-0000-0000F4000000}"/>
    <cellStyle name="Normal 19 4" xfId="250" xr:uid="{00000000-0005-0000-0000-0000F5000000}"/>
    <cellStyle name="Normal 19 5" xfId="251" xr:uid="{00000000-0005-0000-0000-0000F6000000}"/>
    <cellStyle name="Normal 19 6" xfId="252" xr:uid="{00000000-0005-0000-0000-0000F7000000}"/>
    <cellStyle name="Normal 19 7" xfId="253" xr:uid="{00000000-0005-0000-0000-0000F8000000}"/>
    <cellStyle name="Normal 19 8" xfId="254" xr:uid="{00000000-0005-0000-0000-0000F9000000}"/>
    <cellStyle name="Normal 19 9" xfId="255" xr:uid="{00000000-0005-0000-0000-0000FA000000}"/>
    <cellStyle name="Normal 2" xfId="5" xr:uid="{00000000-0005-0000-0000-0000FB000000}"/>
    <cellStyle name="Normal 2 10" xfId="256" xr:uid="{00000000-0005-0000-0000-0000FC000000}"/>
    <cellStyle name="Normal 2 11" xfId="257" xr:uid="{00000000-0005-0000-0000-0000FD000000}"/>
    <cellStyle name="Normal 2 12" xfId="258" xr:uid="{00000000-0005-0000-0000-0000FE000000}"/>
    <cellStyle name="Normal 2 13" xfId="259" xr:uid="{00000000-0005-0000-0000-0000FF000000}"/>
    <cellStyle name="Normal 2 14" xfId="260" xr:uid="{00000000-0005-0000-0000-000000010000}"/>
    <cellStyle name="Normal 2 15" xfId="261" xr:uid="{00000000-0005-0000-0000-000001010000}"/>
    <cellStyle name="Normal 2 16" xfId="262" xr:uid="{00000000-0005-0000-0000-000002010000}"/>
    <cellStyle name="Normal 2 17" xfId="263" xr:uid="{00000000-0005-0000-0000-000003010000}"/>
    <cellStyle name="Normal 2 18" xfId="264" xr:uid="{00000000-0005-0000-0000-000004010000}"/>
    <cellStyle name="Normal 2 19" xfId="265" xr:uid="{00000000-0005-0000-0000-000005010000}"/>
    <cellStyle name="Normal 2 2" xfId="266" xr:uid="{00000000-0005-0000-0000-000006010000}"/>
    <cellStyle name="Normal 2 2 2" xfId="267" xr:uid="{00000000-0005-0000-0000-000007010000}"/>
    <cellStyle name="Normal 2 2 3" xfId="268" xr:uid="{00000000-0005-0000-0000-000008010000}"/>
    <cellStyle name="Normal 2 2 3 2" xfId="269" xr:uid="{00000000-0005-0000-0000-000009010000}"/>
    <cellStyle name="Normal 2 2 3 2 2" xfId="270" xr:uid="{00000000-0005-0000-0000-00000A010000}"/>
    <cellStyle name="Normal 2 2 3 2 2 2" xfId="271" xr:uid="{00000000-0005-0000-0000-00000B010000}"/>
    <cellStyle name="Normal 2 2 3 2 2 3" xfId="272" xr:uid="{00000000-0005-0000-0000-00000C010000}"/>
    <cellStyle name="Normal 2 2 3 2 3" xfId="273" xr:uid="{00000000-0005-0000-0000-00000D010000}"/>
    <cellStyle name="Normal 2 2 3 2 4" xfId="274" xr:uid="{00000000-0005-0000-0000-00000E010000}"/>
    <cellStyle name="Normal 2 2 3 2 5" xfId="275" xr:uid="{00000000-0005-0000-0000-00000F010000}"/>
    <cellStyle name="Normal 2 2 3 3" xfId="276" xr:uid="{00000000-0005-0000-0000-000010010000}"/>
    <cellStyle name="Normal 2 2 3 3 2" xfId="277" xr:uid="{00000000-0005-0000-0000-000011010000}"/>
    <cellStyle name="Normal 2 2 3 3 3" xfId="278" xr:uid="{00000000-0005-0000-0000-000012010000}"/>
    <cellStyle name="Normal 2 2 3 4" xfId="279" xr:uid="{00000000-0005-0000-0000-000013010000}"/>
    <cellStyle name="Normal 2 2 3 5" xfId="280" xr:uid="{00000000-0005-0000-0000-000014010000}"/>
    <cellStyle name="Normal 2 2 3 6" xfId="281" xr:uid="{00000000-0005-0000-0000-000015010000}"/>
    <cellStyle name="Normal 2 2 4" xfId="282" xr:uid="{00000000-0005-0000-0000-000016010000}"/>
    <cellStyle name="Normal 2 2 4 2" xfId="283" xr:uid="{00000000-0005-0000-0000-000017010000}"/>
    <cellStyle name="Normal 2 2 4 2 2" xfId="284" xr:uid="{00000000-0005-0000-0000-000018010000}"/>
    <cellStyle name="Normal 2 2 4 2 3" xfId="285" xr:uid="{00000000-0005-0000-0000-000019010000}"/>
    <cellStyle name="Normal 2 2 4 3" xfId="286" xr:uid="{00000000-0005-0000-0000-00001A010000}"/>
    <cellStyle name="Normal 2 2 4 4" xfId="287" xr:uid="{00000000-0005-0000-0000-00001B010000}"/>
    <cellStyle name="Normal 2 2 4 5" xfId="288" xr:uid="{00000000-0005-0000-0000-00001C010000}"/>
    <cellStyle name="Normal 2 2 5" xfId="289" xr:uid="{00000000-0005-0000-0000-00001D010000}"/>
    <cellStyle name="Normal 2 2 5 2" xfId="290" xr:uid="{00000000-0005-0000-0000-00001E010000}"/>
    <cellStyle name="Normal 2 2 5 3" xfId="291" xr:uid="{00000000-0005-0000-0000-00001F010000}"/>
    <cellStyle name="Normal 2 2 6" xfId="292" xr:uid="{00000000-0005-0000-0000-000020010000}"/>
    <cellStyle name="Normal 2 2 7" xfId="293" xr:uid="{00000000-0005-0000-0000-000021010000}"/>
    <cellStyle name="Normal 2 2 8" xfId="294" xr:uid="{00000000-0005-0000-0000-000022010000}"/>
    <cellStyle name="Normal 2 20" xfId="295" xr:uid="{00000000-0005-0000-0000-000023010000}"/>
    <cellStyle name="Normal 2 21" xfId="296" xr:uid="{00000000-0005-0000-0000-000024010000}"/>
    <cellStyle name="Normal 2 22" xfId="297" xr:uid="{00000000-0005-0000-0000-000025010000}"/>
    <cellStyle name="Normal 2 23" xfId="298" xr:uid="{00000000-0005-0000-0000-000026010000}"/>
    <cellStyle name="Normal 2 24" xfId="299" xr:uid="{00000000-0005-0000-0000-000027010000}"/>
    <cellStyle name="Normal 2 24 2" xfId="300" xr:uid="{00000000-0005-0000-0000-000028010000}"/>
    <cellStyle name="Normal 2 24 2 2" xfId="301" xr:uid="{00000000-0005-0000-0000-000029010000}"/>
    <cellStyle name="Normal 2 24 2 2 2" xfId="302" xr:uid="{00000000-0005-0000-0000-00002A010000}"/>
    <cellStyle name="Normal 2 24 2 2 3" xfId="303" xr:uid="{00000000-0005-0000-0000-00002B010000}"/>
    <cellStyle name="Normal 2 24 2 3" xfId="304" xr:uid="{00000000-0005-0000-0000-00002C010000}"/>
    <cellStyle name="Normal 2 24 2 4" xfId="305" xr:uid="{00000000-0005-0000-0000-00002D010000}"/>
    <cellStyle name="Normal 2 24 2 5" xfId="306" xr:uid="{00000000-0005-0000-0000-00002E010000}"/>
    <cellStyle name="Normal 2 24 3" xfId="307" xr:uid="{00000000-0005-0000-0000-00002F010000}"/>
    <cellStyle name="Normal 2 24 3 2" xfId="308" xr:uid="{00000000-0005-0000-0000-000030010000}"/>
    <cellStyle name="Normal 2 24 3 3" xfId="309" xr:uid="{00000000-0005-0000-0000-000031010000}"/>
    <cellStyle name="Normal 2 24 4" xfId="310" xr:uid="{00000000-0005-0000-0000-000032010000}"/>
    <cellStyle name="Normal 2 24 5" xfId="311" xr:uid="{00000000-0005-0000-0000-000033010000}"/>
    <cellStyle name="Normal 2 24 6" xfId="312" xr:uid="{00000000-0005-0000-0000-000034010000}"/>
    <cellStyle name="Normal 2 25" xfId="313" xr:uid="{00000000-0005-0000-0000-000035010000}"/>
    <cellStyle name="Normal 2 25 2" xfId="314" xr:uid="{00000000-0005-0000-0000-000036010000}"/>
    <cellStyle name="Normal 2 25 2 2" xfId="315" xr:uid="{00000000-0005-0000-0000-000037010000}"/>
    <cellStyle name="Normal 2 25 2 3" xfId="316" xr:uid="{00000000-0005-0000-0000-000038010000}"/>
    <cellStyle name="Normal 2 25 3" xfId="317" xr:uid="{00000000-0005-0000-0000-000039010000}"/>
    <cellStyle name="Normal 2 25 4" xfId="318" xr:uid="{00000000-0005-0000-0000-00003A010000}"/>
    <cellStyle name="Normal 2 25 5" xfId="319" xr:uid="{00000000-0005-0000-0000-00003B010000}"/>
    <cellStyle name="Normal 2 26" xfId="320" xr:uid="{00000000-0005-0000-0000-00003C010000}"/>
    <cellStyle name="Normal 2 26 2" xfId="321" xr:uid="{00000000-0005-0000-0000-00003D010000}"/>
    <cellStyle name="Normal 2 26 3" xfId="322" xr:uid="{00000000-0005-0000-0000-00003E010000}"/>
    <cellStyle name="Normal 2 27" xfId="323" xr:uid="{00000000-0005-0000-0000-00003F010000}"/>
    <cellStyle name="Normal 2 28" xfId="324" xr:uid="{00000000-0005-0000-0000-000040010000}"/>
    <cellStyle name="Normal 2 29" xfId="325" xr:uid="{00000000-0005-0000-0000-000041010000}"/>
    <cellStyle name="Normal 2 3" xfId="326" xr:uid="{00000000-0005-0000-0000-000042010000}"/>
    <cellStyle name="Normal 2 4" xfId="327" xr:uid="{00000000-0005-0000-0000-000043010000}"/>
    <cellStyle name="Normal 2 5" xfId="328" xr:uid="{00000000-0005-0000-0000-000044010000}"/>
    <cellStyle name="Normal 2 6" xfId="329" xr:uid="{00000000-0005-0000-0000-000045010000}"/>
    <cellStyle name="Normal 2 7" xfId="330" xr:uid="{00000000-0005-0000-0000-000046010000}"/>
    <cellStyle name="Normal 2 8" xfId="331" xr:uid="{00000000-0005-0000-0000-000047010000}"/>
    <cellStyle name="Normal 2 9" xfId="332" xr:uid="{00000000-0005-0000-0000-000048010000}"/>
    <cellStyle name="Normal 20" xfId="333" xr:uid="{00000000-0005-0000-0000-000049010000}"/>
    <cellStyle name="Normal 21" xfId="334" xr:uid="{00000000-0005-0000-0000-00004A010000}"/>
    <cellStyle name="Normal 22" xfId="335" xr:uid="{00000000-0005-0000-0000-00004B010000}"/>
    <cellStyle name="Normal 23" xfId="336" xr:uid="{00000000-0005-0000-0000-00004C010000}"/>
    <cellStyle name="Normal 24" xfId="337" xr:uid="{00000000-0005-0000-0000-00004D010000}"/>
    <cellStyle name="Normal 25" xfId="338" xr:uid="{00000000-0005-0000-0000-00004E010000}"/>
    <cellStyle name="Normal 26" xfId="339" xr:uid="{00000000-0005-0000-0000-00004F010000}"/>
    <cellStyle name="Normal 27" xfId="340" xr:uid="{00000000-0005-0000-0000-000050010000}"/>
    <cellStyle name="Normal 27 2" xfId="341" xr:uid="{00000000-0005-0000-0000-000051010000}"/>
    <cellStyle name="Normal 27 2 2" xfId="342" xr:uid="{00000000-0005-0000-0000-000052010000}"/>
    <cellStyle name="Normal 27 2 2 2" xfId="343" xr:uid="{00000000-0005-0000-0000-000053010000}"/>
    <cellStyle name="Normal 27 2 2 2 2" xfId="344" xr:uid="{00000000-0005-0000-0000-000054010000}"/>
    <cellStyle name="Normal 27 2 2 2 3" xfId="345" xr:uid="{00000000-0005-0000-0000-000055010000}"/>
    <cellStyle name="Normal 27 2 2 3" xfId="346" xr:uid="{00000000-0005-0000-0000-000056010000}"/>
    <cellStyle name="Normal 27 2 2 4" xfId="347" xr:uid="{00000000-0005-0000-0000-000057010000}"/>
    <cellStyle name="Normal 27 2 2 5" xfId="348" xr:uid="{00000000-0005-0000-0000-000058010000}"/>
    <cellStyle name="Normal 27 2 3" xfId="349" xr:uid="{00000000-0005-0000-0000-000059010000}"/>
    <cellStyle name="Normal 27 2 3 2" xfId="350" xr:uid="{00000000-0005-0000-0000-00005A010000}"/>
    <cellStyle name="Normal 27 2 3 3" xfId="351" xr:uid="{00000000-0005-0000-0000-00005B010000}"/>
    <cellStyle name="Normal 27 2 4" xfId="352" xr:uid="{00000000-0005-0000-0000-00005C010000}"/>
    <cellStyle name="Normal 27 2 5" xfId="353" xr:uid="{00000000-0005-0000-0000-00005D010000}"/>
    <cellStyle name="Normal 27 2 6" xfId="354" xr:uid="{00000000-0005-0000-0000-00005E010000}"/>
    <cellStyle name="Normal 27 3" xfId="355" xr:uid="{00000000-0005-0000-0000-00005F010000}"/>
    <cellStyle name="Normal 27 3 2" xfId="356" xr:uid="{00000000-0005-0000-0000-000060010000}"/>
    <cellStyle name="Normal 27 3 2 2" xfId="357" xr:uid="{00000000-0005-0000-0000-000061010000}"/>
    <cellStyle name="Normal 27 3 2 3" xfId="358" xr:uid="{00000000-0005-0000-0000-000062010000}"/>
    <cellStyle name="Normal 27 3 3" xfId="359" xr:uid="{00000000-0005-0000-0000-000063010000}"/>
    <cellStyle name="Normal 27 3 4" xfId="360" xr:uid="{00000000-0005-0000-0000-000064010000}"/>
    <cellStyle name="Normal 27 3 5" xfId="361" xr:uid="{00000000-0005-0000-0000-000065010000}"/>
    <cellStyle name="Normal 27 4" xfId="362" xr:uid="{00000000-0005-0000-0000-000066010000}"/>
    <cellStyle name="Normal 27 4 2" xfId="363" xr:uid="{00000000-0005-0000-0000-000067010000}"/>
    <cellStyle name="Normal 27 4 3" xfId="364" xr:uid="{00000000-0005-0000-0000-000068010000}"/>
    <cellStyle name="Normal 27 5" xfId="365" xr:uid="{00000000-0005-0000-0000-000069010000}"/>
    <cellStyle name="Normal 27 6" xfId="366" xr:uid="{00000000-0005-0000-0000-00006A010000}"/>
    <cellStyle name="Normal 27 7" xfId="367" xr:uid="{00000000-0005-0000-0000-00006B010000}"/>
    <cellStyle name="Normal 28" xfId="368" xr:uid="{00000000-0005-0000-0000-00006C010000}"/>
    <cellStyle name="Normal 28 2" xfId="369" xr:uid="{00000000-0005-0000-0000-00006D010000}"/>
    <cellStyle name="Normal 28 2 2" xfId="370" xr:uid="{00000000-0005-0000-0000-00006E010000}"/>
    <cellStyle name="Normal 28 2 2 2" xfId="371" xr:uid="{00000000-0005-0000-0000-00006F010000}"/>
    <cellStyle name="Normal 28 2 2 3" xfId="372" xr:uid="{00000000-0005-0000-0000-000070010000}"/>
    <cellStyle name="Normal 28 2 3" xfId="373" xr:uid="{00000000-0005-0000-0000-000071010000}"/>
    <cellStyle name="Normal 28 2 4" xfId="374" xr:uid="{00000000-0005-0000-0000-000072010000}"/>
    <cellStyle name="Normal 28 2 5" xfId="375" xr:uid="{00000000-0005-0000-0000-000073010000}"/>
    <cellStyle name="Normal 28 3" xfId="376" xr:uid="{00000000-0005-0000-0000-000074010000}"/>
    <cellStyle name="Normal 28 3 2" xfId="377" xr:uid="{00000000-0005-0000-0000-000075010000}"/>
    <cellStyle name="Normal 28 3 3" xfId="378" xr:uid="{00000000-0005-0000-0000-000076010000}"/>
    <cellStyle name="Normal 28 4" xfId="379" xr:uid="{00000000-0005-0000-0000-000077010000}"/>
    <cellStyle name="Normal 28 5" xfId="380" xr:uid="{00000000-0005-0000-0000-000078010000}"/>
    <cellStyle name="Normal 28 6" xfId="381" xr:uid="{00000000-0005-0000-0000-000079010000}"/>
    <cellStyle name="Normal 29" xfId="382" xr:uid="{00000000-0005-0000-0000-00007A010000}"/>
    <cellStyle name="Normal 29 2" xfId="383" xr:uid="{00000000-0005-0000-0000-00007B010000}"/>
    <cellStyle name="Normal 29 2 2" xfId="384" xr:uid="{00000000-0005-0000-0000-00007C010000}"/>
    <cellStyle name="Normal 29 2 2 2" xfId="385" xr:uid="{00000000-0005-0000-0000-00007D010000}"/>
    <cellStyle name="Normal 29 2 2 3" xfId="386" xr:uid="{00000000-0005-0000-0000-00007E010000}"/>
    <cellStyle name="Normal 29 2 3" xfId="387" xr:uid="{00000000-0005-0000-0000-00007F010000}"/>
    <cellStyle name="Normal 29 2 4" xfId="388" xr:uid="{00000000-0005-0000-0000-000080010000}"/>
    <cellStyle name="Normal 29 2 5" xfId="389" xr:uid="{00000000-0005-0000-0000-000081010000}"/>
    <cellStyle name="Normal 29 3" xfId="390" xr:uid="{00000000-0005-0000-0000-000082010000}"/>
    <cellStyle name="Normal 29 3 2" xfId="391" xr:uid="{00000000-0005-0000-0000-000083010000}"/>
    <cellStyle name="Normal 29 3 3" xfId="392" xr:uid="{00000000-0005-0000-0000-000084010000}"/>
    <cellStyle name="Normal 29 4" xfId="393" xr:uid="{00000000-0005-0000-0000-000085010000}"/>
    <cellStyle name="Normal 29 5" xfId="394" xr:uid="{00000000-0005-0000-0000-000086010000}"/>
    <cellStyle name="Normal 29 6" xfId="395" xr:uid="{00000000-0005-0000-0000-000087010000}"/>
    <cellStyle name="Normal 3" xfId="396" xr:uid="{00000000-0005-0000-0000-000088010000}"/>
    <cellStyle name="Normal 3 10" xfId="397" xr:uid="{00000000-0005-0000-0000-000089010000}"/>
    <cellStyle name="Normal 3 11" xfId="398" xr:uid="{00000000-0005-0000-0000-00008A010000}"/>
    <cellStyle name="Normal 3 12" xfId="399" xr:uid="{00000000-0005-0000-0000-00008B010000}"/>
    <cellStyle name="Normal 3 13" xfId="400" xr:uid="{00000000-0005-0000-0000-00008C010000}"/>
    <cellStyle name="Normal 3 14" xfId="401" xr:uid="{00000000-0005-0000-0000-00008D010000}"/>
    <cellStyle name="Normal 3 15" xfId="402" xr:uid="{00000000-0005-0000-0000-00008E010000}"/>
    <cellStyle name="Normal 3 16" xfId="403" xr:uid="{00000000-0005-0000-0000-00008F010000}"/>
    <cellStyle name="Normal 3 17" xfId="404" xr:uid="{00000000-0005-0000-0000-000090010000}"/>
    <cellStyle name="Normal 3 18" xfId="405" xr:uid="{00000000-0005-0000-0000-000091010000}"/>
    <cellStyle name="Normal 3 19" xfId="406" xr:uid="{00000000-0005-0000-0000-000092010000}"/>
    <cellStyle name="Normal 3 2" xfId="407" xr:uid="{00000000-0005-0000-0000-000093010000}"/>
    <cellStyle name="Normal 3 20" xfId="408" xr:uid="{00000000-0005-0000-0000-000094010000}"/>
    <cellStyle name="Normal 3 21" xfId="409" xr:uid="{00000000-0005-0000-0000-000095010000}"/>
    <cellStyle name="Normal 3 22" xfId="410" xr:uid="{00000000-0005-0000-0000-000096010000}"/>
    <cellStyle name="Normal 3 23" xfId="411" xr:uid="{00000000-0005-0000-0000-000097010000}"/>
    <cellStyle name="Normal 3 3" xfId="412" xr:uid="{00000000-0005-0000-0000-000098010000}"/>
    <cellStyle name="Normal 3 4" xfId="413" xr:uid="{00000000-0005-0000-0000-000099010000}"/>
    <cellStyle name="Normal 3 5" xfId="414" xr:uid="{00000000-0005-0000-0000-00009A010000}"/>
    <cellStyle name="Normal 3 6" xfId="415" xr:uid="{00000000-0005-0000-0000-00009B010000}"/>
    <cellStyle name="Normal 3 7" xfId="416" xr:uid="{00000000-0005-0000-0000-00009C010000}"/>
    <cellStyle name="Normal 3 8" xfId="417" xr:uid="{00000000-0005-0000-0000-00009D010000}"/>
    <cellStyle name="Normal 3 9" xfId="418" xr:uid="{00000000-0005-0000-0000-00009E010000}"/>
    <cellStyle name="Normal 4" xfId="4" xr:uid="{00000000-0005-0000-0000-00009F010000}"/>
    <cellStyle name="Normal 4 10" xfId="419" xr:uid="{00000000-0005-0000-0000-0000A0010000}"/>
    <cellStyle name="Normal 4 2" xfId="420" xr:uid="{00000000-0005-0000-0000-0000A1010000}"/>
    <cellStyle name="Normal 4 3" xfId="421" xr:uid="{00000000-0005-0000-0000-0000A2010000}"/>
    <cellStyle name="Normal 4 4" xfId="422" xr:uid="{00000000-0005-0000-0000-0000A3010000}"/>
    <cellStyle name="Normal 4 4 2" xfId="423" xr:uid="{00000000-0005-0000-0000-0000A4010000}"/>
    <cellStyle name="Normal 4 4 2 2" xfId="424" xr:uid="{00000000-0005-0000-0000-0000A5010000}"/>
    <cellStyle name="Normal 4 4 2 2 2" xfId="425" xr:uid="{00000000-0005-0000-0000-0000A6010000}"/>
    <cellStyle name="Normal 4 4 2 2 3" xfId="426" xr:uid="{00000000-0005-0000-0000-0000A7010000}"/>
    <cellStyle name="Normal 4 4 2 3" xfId="427" xr:uid="{00000000-0005-0000-0000-0000A8010000}"/>
    <cellStyle name="Normal 4 4 2 4" xfId="428" xr:uid="{00000000-0005-0000-0000-0000A9010000}"/>
    <cellStyle name="Normal 4 4 2 5" xfId="429" xr:uid="{00000000-0005-0000-0000-0000AA010000}"/>
    <cellStyle name="Normal 4 4 3" xfId="430" xr:uid="{00000000-0005-0000-0000-0000AB010000}"/>
    <cellStyle name="Normal 4 4 3 2" xfId="431" xr:uid="{00000000-0005-0000-0000-0000AC010000}"/>
    <cellStyle name="Normal 4 4 3 3" xfId="432" xr:uid="{00000000-0005-0000-0000-0000AD010000}"/>
    <cellStyle name="Normal 4 4 4" xfId="433" xr:uid="{00000000-0005-0000-0000-0000AE010000}"/>
    <cellStyle name="Normal 4 4 4 2" xfId="434" xr:uid="{00000000-0005-0000-0000-0000AF010000}"/>
    <cellStyle name="Normal 4 4 5" xfId="435" xr:uid="{00000000-0005-0000-0000-0000B0010000}"/>
    <cellStyle name="Normal 4 4 6" xfId="436" xr:uid="{00000000-0005-0000-0000-0000B1010000}"/>
    <cellStyle name="Normal 4 5" xfId="437" xr:uid="{00000000-0005-0000-0000-0000B2010000}"/>
    <cellStyle name="Normal 4 5 2" xfId="438" xr:uid="{00000000-0005-0000-0000-0000B3010000}"/>
    <cellStyle name="Normal 4 5 2 2" xfId="439" xr:uid="{00000000-0005-0000-0000-0000B4010000}"/>
    <cellStyle name="Normal 4 5 2 3" xfId="440" xr:uid="{00000000-0005-0000-0000-0000B5010000}"/>
    <cellStyle name="Normal 4 5 3" xfId="441" xr:uid="{00000000-0005-0000-0000-0000B6010000}"/>
    <cellStyle name="Normal 4 5 3 2" xfId="442" xr:uid="{00000000-0005-0000-0000-0000B7010000}"/>
    <cellStyle name="Normal 4 5 4" xfId="443" xr:uid="{00000000-0005-0000-0000-0000B8010000}"/>
    <cellStyle name="Normal 4 5 5" xfId="444" xr:uid="{00000000-0005-0000-0000-0000B9010000}"/>
    <cellStyle name="Normal 4 5 6" xfId="445" xr:uid="{00000000-0005-0000-0000-0000BA010000}"/>
    <cellStyle name="Normal 4 6" xfId="446" xr:uid="{00000000-0005-0000-0000-0000BB010000}"/>
    <cellStyle name="Normal 4 6 2" xfId="447" xr:uid="{00000000-0005-0000-0000-0000BC010000}"/>
    <cellStyle name="Normal 4 6 3" xfId="448" xr:uid="{00000000-0005-0000-0000-0000BD010000}"/>
    <cellStyle name="Normal 4 7" xfId="449" xr:uid="{00000000-0005-0000-0000-0000BE010000}"/>
    <cellStyle name="Normal 4 7 2" xfId="450" xr:uid="{00000000-0005-0000-0000-0000BF010000}"/>
    <cellStyle name="Normal 4 7 3" xfId="451" xr:uid="{00000000-0005-0000-0000-0000C0010000}"/>
    <cellStyle name="Normal 4 8" xfId="452" xr:uid="{00000000-0005-0000-0000-0000C1010000}"/>
    <cellStyle name="Normal 4 8 2" xfId="453" xr:uid="{00000000-0005-0000-0000-0000C2010000}"/>
    <cellStyle name="Normal 4 9" xfId="454" xr:uid="{00000000-0005-0000-0000-0000C3010000}"/>
    <cellStyle name="Normal 49" xfId="455" xr:uid="{00000000-0005-0000-0000-0000C4010000}"/>
    <cellStyle name="Normal 49 2" xfId="456" xr:uid="{00000000-0005-0000-0000-0000C5010000}"/>
    <cellStyle name="Normal 49 2 2" xfId="457" xr:uid="{00000000-0005-0000-0000-0000C6010000}"/>
    <cellStyle name="Normal 49 2 2 2" xfId="458" xr:uid="{00000000-0005-0000-0000-0000C7010000}"/>
    <cellStyle name="Normal 49 2 2 2 2" xfId="459" xr:uid="{00000000-0005-0000-0000-0000C8010000}"/>
    <cellStyle name="Normal 49 2 2 2 3" xfId="460" xr:uid="{00000000-0005-0000-0000-0000C9010000}"/>
    <cellStyle name="Normal 49 2 2 3" xfId="461" xr:uid="{00000000-0005-0000-0000-0000CA010000}"/>
    <cellStyle name="Normal 49 2 2 4" xfId="462" xr:uid="{00000000-0005-0000-0000-0000CB010000}"/>
    <cellStyle name="Normal 49 2 2 5" xfId="463" xr:uid="{00000000-0005-0000-0000-0000CC010000}"/>
    <cellStyle name="Normal 49 2 3" xfId="464" xr:uid="{00000000-0005-0000-0000-0000CD010000}"/>
    <cellStyle name="Normal 49 2 3 2" xfId="465" xr:uid="{00000000-0005-0000-0000-0000CE010000}"/>
    <cellStyle name="Normal 49 2 3 3" xfId="466" xr:uid="{00000000-0005-0000-0000-0000CF010000}"/>
    <cellStyle name="Normal 49 2 4" xfId="467" xr:uid="{00000000-0005-0000-0000-0000D0010000}"/>
    <cellStyle name="Normal 49 2 5" xfId="468" xr:uid="{00000000-0005-0000-0000-0000D1010000}"/>
    <cellStyle name="Normal 49 2 6" xfId="469" xr:uid="{00000000-0005-0000-0000-0000D2010000}"/>
    <cellStyle name="Normal 49 3" xfId="470" xr:uid="{00000000-0005-0000-0000-0000D3010000}"/>
    <cellStyle name="Normal 49 3 2" xfId="471" xr:uid="{00000000-0005-0000-0000-0000D4010000}"/>
    <cellStyle name="Normal 49 3 2 2" xfId="472" xr:uid="{00000000-0005-0000-0000-0000D5010000}"/>
    <cellStyle name="Normal 49 3 2 2 2" xfId="473" xr:uid="{00000000-0005-0000-0000-0000D6010000}"/>
    <cellStyle name="Normal 49 3 2 2 3" xfId="474" xr:uid="{00000000-0005-0000-0000-0000D7010000}"/>
    <cellStyle name="Normal 49 3 2 3" xfId="475" xr:uid="{00000000-0005-0000-0000-0000D8010000}"/>
    <cellStyle name="Normal 49 3 2 4" xfId="476" xr:uid="{00000000-0005-0000-0000-0000D9010000}"/>
    <cellStyle name="Normal 49 3 2 5" xfId="477" xr:uid="{00000000-0005-0000-0000-0000DA010000}"/>
    <cellStyle name="Normal 49 3 3" xfId="478" xr:uid="{00000000-0005-0000-0000-0000DB010000}"/>
    <cellStyle name="Normal 49 3 3 2" xfId="479" xr:uid="{00000000-0005-0000-0000-0000DC010000}"/>
    <cellStyle name="Normal 49 3 3 3" xfId="480" xr:uid="{00000000-0005-0000-0000-0000DD010000}"/>
    <cellStyle name="Normal 49 3 4" xfId="481" xr:uid="{00000000-0005-0000-0000-0000DE010000}"/>
    <cellStyle name="Normal 49 3 5" xfId="482" xr:uid="{00000000-0005-0000-0000-0000DF010000}"/>
    <cellStyle name="Normal 49 3 6" xfId="483" xr:uid="{00000000-0005-0000-0000-0000E0010000}"/>
    <cellStyle name="Normal 49 4" xfId="484" xr:uid="{00000000-0005-0000-0000-0000E1010000}"/>
    <cellStyle name="Normal 49 4 2" xfId="485" xr:uid="{00000000-0005-0000-0000-0000E2010000}"/>
    <cellStyle name="Normal 49 4 2 2" xfId="486" xr:uid="{00000000-0005-0000-0000-0000E3010000}"/>
    <cellStyle name="Normal 49 4 2 2 2" xfId="487" xr:uid="{00000000-0005-0000-0000-0000E4010000}"/>
    <cellStyle name="Normal 49 4 2 2 3" xfId="488" xr:uid="{00000000-0005-0000-0000-0000E5010000}"/>
    <cellStyle name="Normal 49 4 2 3" xfId="489" xr:uid="{00000000-0005-0000-0000-0000E6010000}"/>
    <cellStyle name="Normal 49 4 2 4" xfId="490" xr:uid="{00000000-0005-0000-0000-0000E7010000}"/>
    <cellStyle name="Normal 49 4 2 5" xfId="491" xr:uid="{00000000-0005-0000-0000-0000E8010000}"/>
    <cellStyle name="Normal 49 4 3" xfId="492" xr:uid="{00000000-0005-0000-0000-0000E9010000}"/>
    <cellStyle name="Normal 49 4 3 2" xfId="493" xr:uid="{00000000-0005-0000-0000-0000EA010000}"/>
    <cellStyle name="Normal 49 4 3 3" xfId="494" xr:uid="{00000000-0005-0000-0000-0000EB010000}"/>
    <cellStyle name="Normal 49 4 4" xfId="495" xr:uid="{00000000-0005-0000-0000-0000EC010000}"/>
    <cellStyle name="Normal 49 4 5" xfId="496" xr:uid="{00000000-0005-0000-0000-0000ED010000}"/>
    <cellStyle name="Normal 49 4 6" xfId="497" xr:uid="{00000000-0005-0000-0000-0000EE010000}"/>
    <cellStyle name="Normal 49 5" xfId="498" xr:uid="{00000000-0005-0000-0000-0000EF010000}"/>
    <cellStyle name="Normal 49 5 2" xfId="499" xr:uid="{00000000-0005-0000-0000-0000F0010000}"/>
    <cellStyle name="Normal 49 5 2 2" xfId="500" xr:uid="{00000000-0005-0000-0000-0000F1010000}"/>
    <cellStyle name="Normal 49 5 2 3" xfId="501" xr:uid="{00000000-0005-0000-0000-0000F2010000}"/>
    <cellStyle name="Normal 49 5 3" xfId="502" xr:uid="{00000000-0005-0000-0000-0000F3010000}"/>
    <cellStyle name="Normal 49 5 4" xfId="503" xr:uid="{00000000-0005-0000-0000-0000F4010000}"/>
    <cellStyle name="Normal 49 5 5" xfId="504" xr:uid="{00000000-0005-0000-0000-0000F5010000}"/>
    <cellStyle name="Normal 49 6" xfId="505" xr:uid="{00000000-0005-0000-0000-0000F6010000}"/>
    <cellStyle name="Normal 49 6 2" xfId="506" xr:uid="{00000000-0005-0000-0000-0000F7010000}"/>
    <cellStyle name="Normal 49 6 3" xfId="507" xr:uid="{00000000-0005-0000-0000-0000F8010000}"/>
    <cellStyle name="Normal 49 7" xfId="508" xr:uid="{00000000-0005-0000-0000-0000F9010000}"/>
    <cellStyle name="Normal 49 8" xfId="509" xr:uid="{00000000-0005-0000-0000-0000FA010000}"/>
    <cellStyle name="Normal 49 9" xfId="510" xr:uid="{00000000-0005-0000-0000-0000FB010000}"/>
    <cellStyle name="Normal 5" xfId="511" xr:uid="{00000000-0005-0000-0000-0000FC010000}"/>
    <cellStyle name="Normal 5 2" xfId="512" xr:uid="{00000000-0005-0000-0000-0000FD010000}"/>
    <cellStyle name="Normal 5 3" xfId="513" xr:uid="{00000000-0005-0000-0000-0000FE010000}"/>
    <cellStyle name="Normal 5 3 2" xfId="514" xr:uid="{00000000-0005-0000-0000-0000FF010000}"/>
    <cellStyle name="Normal 5 3 2 2" xfId="515" xr:uid="{00000000-0005-0000-0000-000000020000}"/>
    <cellStyle name="Normal 5 3 2 2 2" xfId="516" xr:uid="{00000000-0005-0000-0000-000001020000}"/>
    <cellStyle name="Normal 5 3 2 2 3" xfId="517" xr:uid="{00000000-0005-0000-0000-000002020000}"/>
    <cellStyle name="Normal 5 3 2 3" xfId="518" xr:uid="{00000000-0005-0000-0000-000003020000}"/>
    <cellStyle name="Normal 5 3 2 4" xfId="519" xr:uid="{00000000-0005-0000-0000-000004020000}"/>
    <cellStyle name="Normal 5 3 2 5" xfId="520" xr:uid="{00000000-0005-0000-0000-000005020000}"/>
    <cellStyle name="Normal 5 3 3" xfId="521" xr:uid="{00000000-0005-0000-0000-000006020000}"/>
    <cellStyle name="Normal 5 3 3 2" xfId="522" xr:uid="{00000000-0005-0000-0000-000007020000}"/>
    <cellStyle name="Normal 5 3 3 3" xfId="523" xr:uid="{00000000-0005-0000-0000-000008020000}"/>
    <cellStyle name="Normal 5 3 4" xfId="524" xr:uid="{00000000-0005-0000-0000-000009020000}"/>
    <cellStyle name="Normal 5 3 5" xfId="525" xr:uid="{00000000-0005-0000-0000-00000A020000}"/>
    <cellStyle name="Normal 5 3 6" xfId="526" xr:uid="{00000000-0005-0000-0000-00000B020000}"/>
    <cellStyle name="Normal 5 4" xfId="527" xr:uid="{00000000-0005-0000-0000-00000C020000}"/>
    <cellStyle name="Normal 5 4 2" xfId="528" xr:uid="{00000000-0005-0000-0000-00000D020000}"/>
    <cellStyle name="Normal 5 4 2 2" xfId="529" xr:uid="{00000000-0005-0000-0000-00000E020000}"/>
    <cellStyle name="Normal 5 4 2 3" xfId="530" xr:uid="{00000000-0005-0000-0000-00000F020000}"/>
    <cellStyle name="Normal 5 4 3" xfId="531" xr:uid="{00000000-0005-0000-0000-000010020000}"/>
    <cellStyle name="Normal 5 4 4" xfId="532" xr:uid="{00000000-0005-0000-0000-000011020000}"/>
    <cellStyle name="Normal 5 4 5" xfId="533" xr:uid="{00000000-0005-0000-0000-000012020000}"/>
    <cellStyle name="Normal 5 5" xfId="534" xr:uid="{00000000-0005-0000-0000-000013020000}"/>
    <cellStyle name="Normal 5 5 2" xfId="535" xr:uid="{00000000-0005-0000-0000-000014020000}"/>
    <cellStyle name="Normal 5 5 3" xfId="536" xr:uid="{00000000-0005-0000-0000-000015020000}"/>
    <cellStyle name="Normal 5 6" xfId="537" xr:uid="{00000000-0005-0000-0000-000016020000}"/>
    <cellStyle name="Normal 5 7" xfId="538" xr:uid="{00000000-0005-0000-0000-000017020000}"/>
    <cellStyle name="Normal 5 8" xfId="539" xr:uid="{00000000-0005-0000-0000-000018020000}"/>
    <cellStyle name="Normal 6" xfId="540" xr:uid="{00000000-0005-0000-0000-000019020000}"/>
    <cellStyle name="Normal 7" xfId="541" xr:uid="{00000000-0005-0000-0000-00001A020000}"/>
    <cellStyle name="Normal 8" xfId="542" xr:uid="{00000000-0005-0000-0000-00001B020000}"/>
    <cellStyle name="Normal 9" xfId="543" xr:uid="{00000000-0005-0000-0000-00001C020000}"/>
    <cellStyle name="Normal_0000000000 CALC-FIXTURE TOTAL 2000 IPC" xfId="1" xr:uid="{00000000-0005-0000-0000-00001D020000}"/>
    <cellStyle name="Normal_0000000000 CALC-FIXTURE TOTAL 2000 UPC" xfId="2" xr:uid="{00000000-0005-0000-0000-00001E020000}"/>
    <cellStyle name="Normal_cURVES" xfId="3" xr:uid="{00000000-0005-0000-0000-00001F020000}"/>
    <cellStyle name="Percent" xfId="780" builtinId="5"/>
    <cellStyle name="Percent 13" xfId="544" xr:uid="{00000000-0005-0000-0000-000020020000}"/>
    <cellStyle name="Percent 13 10" xfId="545" xr:uid="{00000000-0005-0000-0000-000021020000}"/>
    <cellStyle name="Percent 13 11" xfId="546" xr:uid="{00000000-0005-0000-0000-000022020000}"/>
    <cellStyle name="Percent 13 12" xfId="547" xr:uid="{00000000-0005-0000-0000-000023020000}"/>
    <cellStyle name="Percent 13 13" xfId="548" xr:uid="{00000000-0005-0000-0000-000024020000}"/>
    <cellStyle name="Percent 13 14" xfId="549" xr:uid="{00000000-0005-0000-0000-000025020000}"/>
    <cellStyle name="Percent 13 15" xfId="550" xr:uid="{00000000-0005-0000-0000-000026020000}"/>
    <cellStyle name="Percent 13 16" xfId="551" xr:uid="{00000000-0005-0000-0000-000027020000}"/>
    <cellStyle name="Percent 13 17" xfId="552" xr:uid="{00000000-0005-0000-0000-000028020000}"/>
    <cellStyle name="Percent 13 18" xfId="553" xr:uid="{00000000-0005-0000-0000-000029020000}"/>
    <cellStyle name="Percent 13 19" xfId="554" xr:uid="{00000000-0005-0000-0000-00002A020000}"/>
    <cellStyle name="Percent 13 2" xfId="555" xr:uid="{00000000-0005-0000-0000-00002B020000}"/>
    <cellStyle name="Percent 13 20" xfId="556" xr:uid="{00000000-0005-0000-0000-00002C020000}"/>
    <cellStyle name="Percent 13 21" xfId="557" xr:uid="{00000000-0005-0000-0000-00002D020000}"/>
    <cellStyle name="Percent 13 22" xfId="558" xr:uid="{00000000-0005-0000-0000-00002E020000}"/>
    <cellStyle name="Percent 13 3" xfId="559" xr:uid="{00000000-0005-0000-0000-00002F020000}"/>
    <cellStyle name="Percent 13 4" xfId="560" xr:uid="{00000000-0005-0000-0000-000030020000}"/>
    <cellStyle name="Percent 13 5" xfId="561" xr:uid="{00000000-0005-0000-0000-000031020000}"/>
    <cellStyle name="Percent 13 6" xfId="562" xr:uid="{00000000-0005-0000-0000-000032020000}"/>
    <cellStyle name="Percent 13 7" xfId="563" xr:uid="{00000000-0005-0000-0000-000033020000}"/>
    <cellStyle name="Percent 13 8" xfId="564" xr:uid="{00000000-0005-0000-0000-000034020000}"/>
    <cellStyle name="Percent 13 9" xfId="565" xr:uid="{00000000-0005-0000-0000-000035020000}"/>
    <cellStyle name="Percent 14" xfId="566" xr:uid="{00000000-0005-0000-0000-000036020000}"/>
    <cellStyle name="Percent 14 2" xfId="567" xr:uid="{00000000-0005-0000-0000-000037020000}"/>
    <cellStyle name="Percent 14 2 2" xfId="568" xr:uid="{00000000-0005-0000-0000-000038020000}"/>
    <cellStyle name="Percent 14 2 2 2" xfId="569" xr:uid="{00000000-0005-0000-0000-000039020000}"/>
    <cellStyle name="Percent 14 2 2 2 2" xfId="570" xr:uid="{00000000-0005-0000-0000-00003A020000}"/>
    <cellStyle name="Percent 14 2 2 2 3" xfId="571" xr:uid="{00000000-0005-0000-0000-00003B020000}"/>
    <cellStyle name="Percent 14 2 2 3" xfId="572" xr:uid="{00000000-0005-0000-0000-00003C020000}"/>
    <cellStyle name="Percent 14 2 2 4" xfId="573" xr:uid="{00000000-0005-0000-0000-00003D020000}"/>
    <cellStyle name="Percent 14 2 2 5" xfId="574" xr:uid="{00000000-0005-0000-0000-00003E020000}"/>
    <cellStyle name="Percent 14 2 3" xfId="575" xr:uid="{00000000-0005-0000-0000-00003F020000}"/>
    <cellStyle name="Percent 14 2 3 2" xfId="576" xr:uid="{00000000-0005-0000-0000-000040020000}"/>
    <cellStyle name="Percent 14 2 3 3" xfId="577" xr:uid="{00000000-0005-0000-0000-000041020000}"/>
    <cellStyle name="Percent 14 2 4" xfId="578" xr:uid="{00000000-0005-0000-0000-000042020000}"/>
    <cellStyle name="Percent 14 2 5" xfId="579" xr:uid="{00000000-0005-0000-0000-000043020000}"/>
    <cellStyle name="Percent 14 2 6" xfId="580" xr:uid="{00000000-0005-0000-0000-000044020000}"/>
    <cellStyle name="Percent 14 3" xfId="581" xr:uid="{00000000-0005-0000-0000-000045020000}"/>
    <cellStyle name="Percent 14 3 2" xfId="582" xr:uid="{00000000-0005-0000-0000-000046020000}"/>
    <cellStyle name="Percent 14 3 2 2" xfId="583" xr:uid="{00000000-0005-0000-0000-000047020000}"/>
    <cellStyle name="Percent 14 3 2 2 2" xfId="584" xr:uid="{00000000-0005-0000-0000-000048020000}"/>
    <cellStyle name="Percent 14 3 2 2 3" xfId="585" xr:uid="{00000000-0005-0000-0000-000049020000}"/>
    <cellStyle name="Percent 14 3 2 3" xfId="586" xr:uid="{00000000-0005-0000-0000-00004A020000}"/>
    <cellStyle name="Percent 14 3 2 4" xfId="587" xr:uid="{00000000-0005-0000-0000-00004B020000}"/>
    <cellStyle name="Percent 14 3 2 5" xfId="588" xr:uid="{00000000-0005-0000-0000-00004C020000}"/>
    <cellStyle name="Percent 14 3 3" xfId="589" xr:uid="{00000000-0005-0000-0000-00004D020000}"/>
    <cellStyle name="Percent 14 3 3 2" xfId="590" xr:uid="{00000000-0005-0000-0000-00004E020000}"/>
    <cellStyle name="Percent 14 3 3 3" xfId="591" xr:uid="{00000000-0005-0000-0000-00004F020000}"/>
    <cellStyle name="Percent 14 3 4" xfId="592" xr:uid="{00000000-0005-0000-0000-000050020000}"/>
    <cellStyle name="Percent 14 3 5" xfId="593" xr:uid="{00000000-0005-0000-0000-000051020000}"/>
    <cellStyle name="Percent 14 3 6" xfId="594" xr:uid="{00000000-0005-0000-0000-000052020000}"/>
    <cellStyle name="Percent 14 4" xfId="595" xr:uid="{00000000-0005-0000-0000-000053020000}"/>
    <cellStyle name="Percent 14 4 2" xfId="596" xr:uid="{00000000-0005-0000-0000-000054020000}"/>
    <cellStyle name="Percent 14 4 2 2" xfId="597" xr:uid="{00000000-0005-0000-0000-000055020000}"/>
    <cellStyle name="Percent 14 4 2 2 2" xfId="598" xr:uid="{00000000-0005-0000-0000-000056020000}"/>
    <cellStyle name="Percent 14 4 2 2 3" xfId="599" xr:uid="{00000000-0005-0000-0000-000057020000}"/>
    <cellStyle name="Percent 14 4 2 3" xfId="600" xr:uid="{00000000-0005-0000-0000-000058020000}"/>
    <cellStyle name="Percent 14 4 2 4" xfId="601" xr:uid="{00000000-0005-0000-0000-000059020000}"/>
    <cellStyle name="Percent 14 4 2 5" xfId="602" xr:uid="{00000000-0005-0000-0000-00005A020000}"/>
    <cellStyle name="Percent 14 4 3" xfId="603" xr:uid="{00000000-0005-0000-0000-00005B020000}"/>
    <cellStyle name="Percent 14 4 3 2" xfId="604" xr:uid="{00000000-0005-0000-0000-00005C020000}"/>
    <cellStyle name="Percent 14 4 3 3" xfId="605" xr:uid="{00000000-0005-0000-0000-00005D020000}"/>
    <cellStyle name="Percent 14 4 4" xfId="606" xr:uid="{00000000-0005-0000-0000-00005E020000}"/>
    <cellStyle name="Percent 14 4 5" xfId="607" xr:uid="{00000000-0005-0000-0000-00005F020000}"/>
    <cellStyle name="Percent 14 4 6" xfId="608" xr:uid="{00000000-0005-0000-0000-000060020000}"/>
    <cellStyle name="Percent 14 5" xfId="609" xr:uid="{00000000-0005-0000-0000-000061020000}"/>
    <cellStyle name="Percent 14 5 2" xfId="610" xr:uid="{00000000-0005-0000-0000-000062020000}"/>
    <cellStyle name="Percent 14 5 2 2" xfId="611" xr:uid="{00000000-0005-0000-0000-000063020000}"/>
    <cellStyle name="Percent 14 5 2 3" xfId="612" xr:uid="{00000000-0005-0000-0000-000064020000}"/>
    <cellStyle name="Percent 14 5 3" xfId="613" xr:uid="{00000000-0005-0000-0000-000065020000}"/>
    <cellStyle name="Percent 14 5 4" xfId="614" xr:uid="{00000000-0005-0000-0000-000066020000}"/>
    <cellStyle name="Percent 14 5 5" xfId="615" xr:uid="{00000000-0005-0000-0000-000067020000}"/>
    <cellStyle name="Percent 14 6" xfId="616" xr:uid="{00000000-0005-0000-0000-000068020000}"/>
    <cellStyle name="Percent 14 6 2" xfId="617" xr:uid="{00000000-0005-0000-0000-000069020000}"/>
    <cellStyle name="Percent 14 6 3" xfId="618" xr:uid="{00000000-0005-0000-0000-00006A020000}"/>
    <cellStyle name="Percent 14 7" xfId="619" xr:uid="{00000000-0005-0000-0000-00006B020000}"/>
    <cellStyle name="Percent 14 8" xfId="620" xr:uid="{00000000-0005-0000-0000-00006C020000}"/>
    <cellStyle name="Percent 14 9" xfId="621" xr:uid="{00000000-0005-0000-0000-00006D020000}"/>
    <cellStyle name="Percent 18" xfId="622" xr:uid="{00000000-0005-0000-0000-00006E020000}"/>
    <cellStyle name="Percent 2" xfId="623" xr:uid="{00000000-0005-0000-0000-00006F020000}"/>
    <cellStyle name="Percent 2 10" xfId="624" xr:uid="{00000000-0005-0000-0000-000070020000}"/>
    <cellStyle name="Percent 2 11" xfId="625" xr:uid="{00000000-0005-0000-0000-000071020000}"/>
    <cellStyle name="Percent 2 12" xfId="626" xr:uid="{00000000-0005-0000-0000-000072020000}"/>
    <cellStyle name="Percent 2 13" xfId="627" xr:uid="{00000000-0005-0000-0000-000073020000}"/>
    <cellStyle name="Percent 2 14" xfId="628" xr:uid="{00000000-0005-0000-0000-000074020000}"/>
    <cellStyle name="Percent 2 15" xfId="629" xr:uid="{00000000-0005-0000-0000-000075020000}"/>
    <cellStyle name="Percent 2 16" xfId="630" xr:uid="{00000000-0005-0000-0000-000076020000}"/>
    <cellStyle name="Percent 2 17" xfId="631" xr:uid="{00000000-0005-0000-0000-000077020000}"/>
    <cellStyle name="Percent 2 18" xfId="632" xr:uid="{00000000-0005-0000-0000-000078020000}"/>
    <cellStyle name="Percent 2 19" xfId="633" xr:uid="{00000000-0005-0000-0000-000079020000}"/>
    <cellStyle name="Percent 2 2" xfId="634" xr:uid="{00000000-0005-0000-0000-00007A020000}"/>
    <cellStyle name="Percent 2 2 2" xfId="635" xr:uid="{00000000-0005-0000-0000-00007B020000}"/>
    <cellStyle name="Percent 2 2 3" xfId="636" xr:uid="{00000000-0005-0000-0000-00007C020000}"/>
    <cellStyle name="Percent 2 2 3 2" xfId="637" xr:uid="{00000000-0005-0000-0000-00007D020000}"/>
    <cellStyle name="Percent 2 2 3 2 2" xfId="638" xr:uid="{00000000-0005-0000-0000-00007E020000}"/>
    <cellStyle name="Percent 2 2 3 2 2 2" xfId="639" xr:uid="{00000000-0005-0000-0000-00007F020000}"/>
    <cellStyle name="Percent 2 2 3 2 2 3" xfId="640" xr:uid="{00000000-0005-0000-0000-000080020000}"/>
    <cellStyle name="Percent 2 2 3 2 3" xfId="641" xr:uid="{00000000-0005-0000-0000-000081020000}"/>
    <cellStyle name="Percent 2 2 3 2 4" xfId="642" xr:uid="{00000000-0005-0000-0000-000082020000}"/>
    <cellStyle name="Percent 2 2 3 2 5" xfId="643" xr:uid="{00000000-0005-0000-0000-000083020000}"/>
    <cellStyle name="Percent 2 2 3 3" xfId="644" xr:uid="{00000000-0005-0000-0000-000084020000}"/>
    <cellStyle name="Percent 2 2 3 3 2" xfId="645" xr:uid="{00000000-0005-0000-0000-000085020000}"/>
    <cellStyle name="Percent 2 2 3 3 3" xfId="646" xr:uid="{00000000-0005-0000-0000-000086020000}"/>
    <cellStyle name="Percent 2 2 3 4" xfId="647" xr:uid="{00000000-0005-0000-0000-000087020000}"/>
    <cellStyle name="Percent 2 2 3 5" xfId="648" xr:uid="{00000000-0005-0000-0000-000088020000}"/>
    <cellStyle name="Percent 2 2 3 6" xfId="649" xr:uid="{00000000-0005-0000-0000-000089020000}"/>
    <cellStyle name="Percent 2 2 4" xfId="650" xr:uid="{00000000-0005-0000-0000-00008A020000}"/>
    <cellStyle name="Percent 2 2 4 2" xfId="651" xr:uid="{00000000-0005-0000-0000-00008B020000}"/>
    <cellStyle name="Percent 2 2 4 2 2" xfId="652" xr:uid="{00000000-0005-0000-0000-00008C020000}"/>
    <cellStyle name="Percent 2 2 4 2 3" xfId="653" xr:uid="{00000000-0005-0000-0000-00008D020000}"/>
    <cellStyle name="Percent 2 2 4 3" xfId="654" xr:uid="{00000000-0005-0000-0000-00008E020000}"/>
    <cellStyle name="Percent 2 2 4 4" xfId="655" xr:uid="{00000000-0005-0000-0000-00008F020000}"/>
    <cellStyle name="Percent 2 2 4 5" xfId="656" xr:uid="{00000000-0005-0000-0000-000090020000}"/>
    <cellStyle name="Percent 2 2 5" xfId="657" xr:uid="{00000000-0005-0000-0000-000091020000}"/>
    <cellStyle name="Percent 2 2 5 2" xfId="658" xr:uid="{00000000-0005-0000-0000-000092020000}"/>
    <cellStyle name="Percent 2 2 5 3" xfId="659" xr:uid="{00000000-0005-0000-0000-000093020000}"/>
    <cellStyle name="Percent 2 2 6" xfId="660" xr:uid="{00000000-0005-0000-0000-000094020000}"/>
    <cellStyle name="Percent 2 2 7" xfId="661" xr:uid="{00000000-0005-0000-0000-000095020000}"/>
    <cellStyle name="Percent 2 2 8" xfId="662" xr:uid="{00000000-0005-0000-0000-000096020000}"/>
    <cellStyle name="Percent 2 20" xfId="663" xr:uid="{00000000-0005-0000-0000-000097020000}"/>
    <cellStyle name="Percent 2 21" xfId="664" xr:uid="{00000000-0005-0000-0000-000098020000}"/>
    <cellStyle name="Percent 2 22" xfId="665" xr:uid="{00000000-0005-0000-0000-000099020000}"/>
    <cellStyle name="Percent 2 23" xfId="666" xr:uid="{00000000-0005-0000-0000-00009A020000}"/>
    <cellStyle name="Percent 2 24" xfId="667" xr:uid="{00000000-0005-0000-0000-00009B020000}"/>
    <cellStyle name="Percent 2 24 2" xfId="668" xr:uid="{00000000-0005-0000-0000-00009C020000}"/>
    <cellStyle name="Percent 2 24 2 2" xfId="669" xr:uid="{00000000-0005-0000-0000-00009D020000}"/>
    <cellStyle name="Percent 2 24 2 2 2" xfId="670" xr:uid="{00000000-0005-0000-0000-00009E020000}"/>
    <cellStyle name="Percent 2 24 2 2 3" xfId="671" xr:uid="{00000000-0005-0000-0000-00009F020000}"/>
    <cellStyle name="Percent 2 24 2 3" xfId="672" xr:uid="{00000000-0005-0000-0000-0000A0020000}"/>
    <cellStyle name="Percent 2 24 2 4" xfId="673" xr:uid="{00000000-0005-0000-0000-0000A1020000}"/>
    <cellStyle name="Percent 2 24 2 5" xfId="674" xr:uid="{00000000-0005-0000-0000-0000A2020000}"/>
    <cellStyle name="Percent 2 24 3" xfId="675" xr:uid="{00000000-0005-0000-0000-0000A3020000}"/>
    <cellStyle name="Percent 2 24 3 2" xfId="676" xr:uid="{00000000-0005-0000-0000-0000A4020000}"/>
    <cellStyle name="Percent 2 24 3 3" xfId="677" xr:uid="{00000000-0005-0000-0000-0000A5020000}"/>
    <cellStyle name="Percent 2 24 4" xfId="678" xr:uid="{00000000-0005-0000-0000-0000A6020000}"/>
    <cellStyle name="Percent 2 24 5" xfId="679" xr:uid="{00000000-0005-0000-0000-0000A7020000}"/>
    <cellStyle name="Percent 2 24 6" xfId="680" xr:uid="{00000000-0005-0000-0000-0000A8020000}"/>
    <cellStyle name="Percent 2 25" xfId="681" xr:uid="{00000000-0005-0000-0000-0000A9020000}"/>
    <cellStyle name="Percent 2 25 2" xfId="682" xr:uid="{00000000-0005-0000-0000-0000AA020000}"/>
    <cellStyle name="Percent 2 25 2 2" xfId="683" xr:uid="{00000000-0005-0000-0000-0000AB020000}"/>
    <cellStyle name="Percent 2 25 2 3" xfId="684" xr:uid="{00000000-0005-0000-0000-0000AC020000}"/>
    <cellStyle name="Percent 2 25 3" xfId="685" xr:uid="{00000000-0005-0000-0000-0000AD020000}"/>
    <cellStyle name="Percent 2 25 4" xfId="686" xr:uid="{00000000-0005-0000-0000-0000AE020000}"/>
    <cellStyle name="Percent 2 25 5" xfId="687" xr:uid="{00000000-0005-0000-0000-0000AF020000}"/>
    <cellStyle name="Percent 2 26" xfId="688" xr:uid="{00000000-0005-0000-0000-0000B0020000}"/>
    <cellStyle name="Percent 2 26 2" xfId="689" xr:uid="{00000000-0005-0000-0000-0000B1020000}"/>
    <cellStyle name="Percent 2 26 3" xfId="690" xr:uid="{00000000-0005-0000-0000-0000B2020000}"/>
    <cellStyle name="Percent 2 27" xfId="691" xr:uid="{00000000-0005-0000-0000-0000B3020000}"/>
    <cellStyle name="Percent 2 28" xfId="692" xr:uid="{00000000-0005-0000-0000-0000B4020000}"/>
    <cellStyle name="Percent 2 29" xfId="693" xr:uid="{00000000-0005-0000-0000-0000B5020000}"/>
    <cellStyle name="Percent 2 3" xfId="694" xr:uid="{00000000-0005-0000-0000-0000B6020000}"/>
    <cellStyle name="Percent 2 4" xfId="695" xr:uid="{00000000-0005-0000-0000-0000B7020000}"/>
    <cellStyle name="Percent 2 5" xfId="696" xr:uid="{00000000-0005-0000-0000-0000B8020000}"/>
    <cellStyle name="Percent 2 6" xfId="697" xr:uid="{00000000-0005-0000-0000-0000B9020000}"/>
    <cellStyle name="Percent 2 7" xfId="698" xr:uid="{00000000-0005-0000-0000-0000BA020000}"/>
    <cellStyle name="Percent 2 8" xfId="699" xr:uid="{00000000-0005-0000-0000-0000BB020000}"/>
    <cellStyle name="Percent 2 9" xfId="700" xr:uid="{00000000-0005-0000-0000-0000BC020000}"/>
    <cellStyle name="Percent 3" xfId="701" xr:uid="{00000000-0005-0000-0000-0000BD020000}"/>
    <cellStyle name="Percent 4" xfId="702" xr:uid="{00000000-0005-0000-0000-0000BE020000}"/>
    <cellStyle name="Percent 4 2" xfId="703" xr:uid="{00000000-0005-0000-0000-0000BF020000}"/>
    <cellStyle name="Percent 4 2 2" xfId="704" xr:uid="{00000000-0005-0000-0000-0000C0020000}"/>
    <cellStyle name="Percent 4 2 2 2" xfId="705" xr:uid="{00000000-0005-0000-0000-0000C1020000}"/>
    <cellStyle name="Percent 4 2 2 2 2" xfId="706" xr:uid="{00000000-0005-0000-0000-0000C2020000}"/>
    <cellStyle name="Percent 4 2 2 2 3" xfId="707" xr:uid="{00000000-0005-0000-0000-0000C3020000}"/>
    <cellStyle name="Percent 4 2 2 3" xfId="708" xr:uid="{00000000-0005-0000-0000-0000C4020000}"/>
    <cellStyle name="Percent 4 2 2 4" xfId="709" xr:uid="{00000000-0005-0000-0000-0000C5020000}"/>
    <cellStyle name="Percent 4 2 2 5" xfId="710" xr:uid="{00000000-0005-0000-0000-0000C6020000}"/>
    <cellStyle name="Percent 4 2 3" xfId="711" xr:uid="{00000000-0005-0000-0000-0000C7020000}"/>
    <cellStyle name="Percent 4 2 3 2" xfId="712" xr:uid="{00000000-0005-0000-0000-0000C8020000}"/>
    <cellStyle name="Percent 4 2 3 3" xfId="713" xr:uid="{00000000-0005-0000-0000-0000C9020000}"/>
    <cellStyle name="Percent 4 2 4" xfId="714" xr:uid="{00000000-0005-0000-0000-0000CA020000}"/>
    <cellStyle name="Percent 4 2 5" xfId="715" xr:uid="{00000000-0005-0000-0000-0000CB020000}"/>
    <cellStyle name="Percent 4 2 6" xfId="716" xr:uid="{00000000-0005-0000-0000-0000CC020000}"/>
    <cellStyle name="Percent 4 3" xfId="717" xr:uid="{00000000-0005-0000-0000-0000CD020000}"/>
    <cellStyle name="Percent 4 3 2" xfId="718" xr:uid="{00000000-0005-0000-0000-0000CE020000}"/>
    <cellStyle name="Percent 4 3 2 2" xfId="719" xr:uid="{00000000-0005-0000-0000-0000CF020000}"/>
    <cellStyle name="Percent 4 3 2 3" xfId="720" xr:uid="{00000000-0005-0000-0000-0000D0020000}"/>
    <cellStyle name="Percent 4 3 3" xfId="721" xr:uid="{00000000-0005-0000-0000-0000D1020000}"/>
    <cellStyle name="Percent 4 3 4" xfId="722" xr:uid="{00000000-0005-0000-0000-0000D2020000}"/>
    <cellStyle name="Percent 4 3 5" xfId="723" xr:uid="{00000000-0005-0000-0000-0000D3020000}"/>
    <cellStyle name="Percent 4 4" xfId="724" xr:uid="{00000000-0005-0000-0000-0000D4020000}"/>
    <cellStyle name="Percent 4 4 2" xfId="725" xr:uid="{00000000-0005-0000-0000-0000D5020000}"/>
    <cellStyle name="Percent 4 4 3" xfId="726" xr:uid="{00000000-0005-0000-0000-0000D6020000}"/>
    <cellStyle name="Percent 4 5" xfId="727" xr:uid="{00000000-0005-0000-0000-0000D7020000}"/>
    <cellStyle name="Percent 4 6" xfId="728" xr:uid="{00000000-0005-0000-0000-0000D8020000}"/>
    <cellStyle name="Percent 4 7" xfId="729" xr:uid="{00000000-0005-0000-0000-0000D9020000}"/>
    <cellStyle name="Percent 5" xfId="730" xr:uid="{00000000-0005-0000-0000-0000DA020000}"/>
    <cellStyle name="Percent 5 2" xfId="731" xr:uid="{00000000-0005-0000-0000-0000DB020000}"/>
    <cellStyle name="Percent 5 2 2" xfId="732" xr:uid="{00000000-0005-0000-0000-0000DC020000}"/>
    <cellStyle name="Percent 5 2 2 2" xfId="733" xr:uid="{00000000-0005-0000-0000-0000DD020000}"/>
    <cellStyle name="Percent 5 2 2 3" xfId="734" xr:uid="{00000000-0005-0000-0000-0000DE020000}"/>
    <cellStyle name="Percent 5 2 3" xfId="735" xr:uid="{00000000-0005-0000-0000-0000DF020000}"/>
    <cellStyle name="Percent 5 2 4" xfId="736" xr:uid="{00000000-0005-0000-0000-0000E0020000}"/>
    <cellStyle name="Percent 5 2 5" xfId="737" xr:uid="{00000000-0005-0000-0000-0000E1020000}"/>
    <cellStyle name="Percent 5 3" xfId="738" xr:uid="{00000000-0005-0000-0000-0000E2020000}"/>
    <cellStyle name="Percent 5 3 2" xfId="739" xr:uid="{00000000-0005-0000-0000-0000E3020000}"/>
    <cellStyle name="Percent 5 3 3" xfId="740" xr:uid="{00000000-0005-0000-0000-0000E4020000}"/>
    <cellStyle name="Percent 5 4" xfId="741" xr:uid="{00000000-0005-0000-0000-0000E5020000}"/>
    <cellStyle name="Percent 5 5" xfId="742" xr:uid="{00000000-0005-0000-0000-0000E6020000}"/>
    <cellStyle name="Percent 5 6" xfId="743" xr:uid="{00000000-0005-0000-0000-0000E7020000}"/>
    <cellStyle name="Percent 6" xfId="744" xr:uid="{00000000-0005-0000-0000-0000E8020000}"/>
    <cellStyle name="Percent 6 2" xfId="745" xr:uid="{00000000-0005-0000-0000-0000E9020000}"/>
    <cellStyle name="Percent 6 2 2" xfId="746" xr:uid="{00000000-0005-0000-0000-0000EA020000}"/>
    <cellStyle name="Percent 6 2 2 2" xfId="747" xr:uid="{00000000-0005-0000-0000-0000EB020000}"/>
    <cellStyle name="Percent 6 2 2 3" xfId="748" xr:uid="{00000000-0005-0000-0000-0000EC020000}"/>
    <cellStyle name="Percent 6 2 3" xfId="749" xr:uid="{00000000-0005-0000-0000-0000ED020000}"/>
    <cellStyle name="Percent 6 2 4" xfId="750" xr:uid="{00000000-0005-0000-0000-0000EE020000}"/>
    <cellStyle name="Percent 6 2 5" xfId="751" xr:uid="{00000000-0005-0000-0000-0000EF020000}"/>
    <cellStyle name="Percent 6 3" xfId="752" xr:uid="{00000000-0005-0000-0000-0000F0020000}"/>
    <cellStyle name="Percent 6 3 2" xfId="753" xr:uid="{00000000-0005-0000-0000-0000F1020000}"/>
    <cellStyle name="Percent 6 3 3" xfId="754" xr:uid="{00000000-0005-0000-0000-0000F2020000}"/>
    <cellStyle name="Percent 6 4" xfId="755" xr:uid="{00000000-0005-0000-0000-0000F3020000}"/>
    <cellStyle name="Percent 6 5" xfId="756" xr:uid="{00000000-0005-0000-0000-0000F4020000}"/>
    <cellStyle name="Percent 6 6" xfId="757" xr:uid="{00000000-0005-0000-0000-0000F5020000}"/>
    <cellStyle name="Percent 8" xfId="758" xr:uid="{00000000-0005-0000-0000-0000F6020000}"/>
    <cellStyle name="Percent 8 10" xfId="759" xr:uid="{00000000-0005-0000-0000-0000F7020000}"/>
    <cellStyle name="Percent 8 11" xfId="760" xr:uid="{00000000-0005-0000-0000-0000F8020000}"/>
    <cellStyle name="Percent 8 12" xfId="761" xr:uid="{00000000-0005-0000-0000-0000F9020000}"/>
    <cellStyle name="Percent 8 13" xfId="762" xr:uid="{00000000-0005-0000-0000-0000FA020000}"/>
    <cellStyle name="Percent 8 14" xfId="763" xr:uid="{00000000-0005-0000-0000-0000FB020000}"/>
    <cellStyle name="Percent 8 15" xfId="764" xr:uid="{00000000-0005-0000-0000-0000FC020000}"/>
    <cellStyle name="Percent 8 16" xfId="765" xr:uid="{00000000-0005-0000-0000-0000FD020000}"/>
    <cellStyle name="Percent 8 17" xfId="766" xr:uid="{00000000-0005-0000-0000-0000FE020000}"/>
    <cellStyle name="Percent 8 18" xfId="767" xr:uid="{00000000-0005-0000-0000-0000FF020000}"/>
    <cellStyle name="Percent 8 19" xfId="768" xr:uid="{00000000-0005-0000-0000-000000030000}"/>
    <cellStyle name="Percent 8 2" xfId="769" xr:uid="{00000000-0005-0000-0000-000001030000}"/>
    <cellStyle name="Percent 8 20" xfId="770" xr:uid="{00000000-0005-0000-0000-000002030000}"/>
    <cellStyle name="Percent 8 21" xfId="771" xr:uid="{00000000-0005-0000-0000-000003030000}"/>
    <cellStyle name="Percent 8 22" xfId="772" xr:uid="{00000000-0005-0000-0000-000004030000}"/>
    <cellStyle name="Percent 8 3" xfId="773" xr:uid="{00000000-0005-0000-0000-000005030000}"/>
    <cellStyle name="Percent 8 4" xfId="774" xr:uid="{00000000-0005-0000-0000-000006030000}"/>
    <cellStyle name="Percent 8 5" xfId="775" xr:uid="{00000000-0005-0000-0000-000007030000}"/>
    <cellStyle name="Percent 8 6" xfId="776" xr:uid="{00000000-0005-0000-0000-000008030000}"/>
    <cellStyle name="Percent 8 7" xfId="777" xr:uid="{00000000-0005-0000-0000-000009030000}"/>
    <cellStyle name="Percent 8 8" xfId="778" xr:uid="{00000000-0005-0000-0000-00000A030000}"/>
    <cellStyle name="Percent 8 9" xfId="779" xr:uid="{00000000-0005-0000-0000-00000B030000}"/>
  </cellStyles>
  <dxfs count="2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28575</xdr:rowOff>
        </xdr:from>
        <xdr:to>
          <xdr:col>2</xdr:col>
          <xdr:colOff>495300</xdr:colOff>
          <xdr:row>0</xdr:row>
          <xdr:rowOff>304800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1752600</xdr:colOff>
          <xdr:row>0</xdr:row>
          <xdr:rowOff>28575</xdr:rowOff>
        </xdr:from>
        <xdr:to>
          <xdr:col>4</xdr:col>
          <xdr:colOff>447675</xdr:colOff>
          <xdr:row>0</xdr:row>
          <xdr:rowOff>304800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CAD Copy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(Copy-Clip)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28575</xdr:rowOff>
        </xdr:from>
        <xdr:to>
          <xdr:col>7</xdr:col>
          <xdr:colOff>247650</xdr:colOff>
          <xdr:row>0</xdr:row>
          <xdr:rowOff>304800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Revit 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0</xdr:row>
          <xdr:rowOff>28575</xdr:rowOff>
        </xdr:from>
        <xdr:to>
          <xdr:col>9</xdr:col>
          <xdr:colOff>209550</xdr:colOff>
          <xdr:row>0</xdr:row>
          <xdr:rowOff>304800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0</xdr:row>
          <xdr:rowOff>28575</xdr:rowOff>
        </xdr:from>
        <xdr:to>
          <xdr:col>2</xdr:col>
          <xdr:colOff>1676400</xdr:colOff>
          <xdr:row>0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Formatting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C20"/>
  <sheetViews>
    <sheetView workbookViewId="0">
      <selection activeCell="C20" sqref="C20"/>
    </sheetView>
  </sheetViews>
  <sheetFormatPr defaultRowHeight="12.75"/>
  <sheetData>
    <row r="1" spans="1:3">
      <c r="A1" s="14" t="s">
        <v>87</v>
      </c>
    </row>
    <row r="2" spans="1:3">
      <c r="A2" s="15" t="s">
        <v>88</v>
      </c>
    </row>
    <row r="4" spans="1:3">
      <c r="A4" s="14" t="s">
        <v>89</v>
      </c>
      <c r="C4" s="14" t="s">
        <v>90</v>
      </c>
    </row>
    <row r="6" spans="1:3">
      <c r="A6" s="14" t="s">
        <v>91</v>
      </c>
    </row>
    <row r="7" spans="1:3">
      <c r="A7" s="14" t="s">
        <v>92</v>
      </c>
      <c r="B7" s="14" t="s">
        <v>93</v>
      </c>
      <c r="C7" s="14" t="s">
        <v>94</v>
      </c>
    </row>
    <row r="8" spans="1:3">
      <c r="A8" s="14" t="s">
        <v>92</v>
      </c>
      <c r="B8" s="14" t="s">
        <v>95</v>
      </c>
      <c r="C8" s="14" t="s">
        <v>96</v>
      </c>
    </row>
    <row r="9" spans="1:3">
      <c r="A9" s="27" t="s">
        <v>122</v>
      </c>
      <c r="B9" s="27" t="s">
        <v>123</v>
      </c>
      <c r="C9" s="27" t="s">
        <v>124</v>
      </c>
    </row>
    <row r="10" spans="1:3">
      <c r="A10" s="27" t="s">
        <v>127</v>
      </c>
      <c r="B10" s="27" t="s">
        <v>125</v>
      </c>
      <c r="C10" s="27" t="s">
        <v>126</v>
      </c>
    </row>
    <row r="11" spans="1:3">
      <c r="A11" s="27" t="s">
        <v>128</v>
      </c>
      <c r="B11" s="16" t="s">
        <v>133</v>
      </c>
      <c r="C11" s="16" t="s">
        <v>129</v>
      </c>
    </row>
    <row r="12" spans="1:3">
      <c r="A12" s="14"/>
      <c r="B12" s="16"/>
      <c r="C12" s="16" t="s">
        <v>130</v>
      </c>
    </row>
    <row r="13" spans="1:3">
      <c r="A13" s="27" t="s">
        <v>134</v>
      </c>
      <c r="B13" s="16" t="s">
        <v>135</v>
      </c>
      <c r="C13" s="16" t="s">
        <v>136</v>
      </c>
    </row>
    <row r="14" spans="1:3">
      <c r="A14" s="27" t="s">
        <v>137</v>
      </c>
      <c r="B14" s="27" t="s">
        <v>135</v>
      </c>
      <c r="C14" s="27" t="s">
        <v>138</v>
      </c>
    </row>
    <row r="15" spans="1:3">
      <c r="A15" s="27" t="s">
        <v>139</v>
      </c>
      <c r="B15" s="27" t="s">
        <v>173</v>
      </c>
    </row>
    <row r="16" spans="1:3">
      <c r="A16" s="27" t="s">
        <v>166</v>
      </c>
      <c r="B16" s="27" t="s">
        <v>140</v>
      </c>
      <c r="C16" s="27" t="s">
        <v>141</v>
      </c>
    </row>
    <row r="17" spans="1:3">
      <c r="A17" s="27" t="s">
        <v>167</v>
      </c>
      <c r="B17" s="27" t="s">
        <v>174</v>
      </c>
      <c r="C17" s="27" t="s">
        <v>175</v>
      </c>
    </row>
    <row r="18" spans="1:3">
      <c r="A18" s="27" t="s">
        <v>168</v>
      </c>
      <c r="B18" s="27" t="s">
        <v>169</v>
      </c>
      <c r="C18" s="27" t="s">
        <v>170</v>
      </c>
    </row>
    <row r="19" spans="1:3">
      <c r="C19" s="27" t="s">
        <v>181</v>
      </c>
    </row>
    <row r="20" spans="1:3">
      <c r="B20" s="27" t="s">
        <v>186</v>
      </c>
      <c r="C20" s="27" t="s">
        <v>187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/>
    <pageSetUpPr fitToPage="1"/>
  </sheetPr>
  <dimension ref="A2:M45"/>
  <sheetViews>
    <sheetView view="pageLayout" zoomScaleNormal="100" workbookViewId="0">
      <selection activeCell="M25" sqref="M25"/>
    </sheetView>
  </sheetViews>
  <sheetFormatPr defaultColWidth="9.140625" defaultRowHeight="12.75"/>
  <cols>
    <col min="1" max="16384" width="9.140625" style="16"/>
  </cols>
  <sheetData>
    <row r="2" spans="1:13" ht="26.25">
      <c r="A2" s="171" t="s">
        <v>97</v>
      </c>
      <c r="B2" s="171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</row>
    <row r="4" spans="1:13">
      <c r="A4" s="17" t="s">
        <v>98</v>
      </c>
    </row>
    <row r="6" spans="1:13">
      <c r="A6" s="16" t="s">
        <v>99</v>
      </c>
    </row>
    <row r="7" spans="1:13">
      <c r="A7" s="16" t="s">
        <v>100</v>
      </c>
    </row>
    <row r="9" spans="1:13">
      <c r="A9" s="16" t="s">
        <v>101</v>
      </c>
    </row>
    <row r="10" spans="1:13">
      <c r="A10" s="16" t="s">
        <v>102</v>
      </c>
    </row>
    <row r="12" spans="1:13">
      <c r="A12" s="16" t="s">
        <v>103</v>
      </c>
    </row>
    <row r="13" spans="1:13">
      <c r="A13" s="16" t="s">
        <v>104</v>
      </c>
    </row>
    <row r="15" spans="1:13">
      <c r="A15" s="16" t="s">
        <v>105</v>
      </c>
    </row>
    <row r="16" spans="1:13">
      <c r="A16" s="16" t="s">
        <v>106</v>
      </c>
    </row>
    <row r="18" spans="1:3">
      <c r="A18" s="17" t="s">
        <v>107</v>
      </c>
    </row>
    <row r="20" spans="1:3">
      <c r="A20" s="16" t="s">
        <v>108</v>
      </c>
    </row>
    <row r="22" spans="1:3">
      <c r="B22" s="18"/>
      <c r="C22" s="16" t="s">
        <v>109</v>
      </c>
    </row>
    <row r="23" spans="1:3">
      <c r="B23" s="19"/>
      <c r="C23" s="16" t="s">
        <v>110</v>
      </c>
    </row>
    <row r="24" spans="1:3">
      <c r="C24" s="16" t="s">
        <v>111</v>
      </c>
    </row>
    <row r="25" spans="1:3">
      <c r="B25" s="20"/>
      <c r="C25" s="16" t="s">
        <v>112</v>
      </c>
    </row>
    <row r="26" spans="1:3">
      <c r="B26" s="21"/>
      <c r="C26" s="16" t="s">
        <v>113</v>
      </c>
    </row>
    <row r="28" spans="1:3">
      <c r="A28" s="16" t="s">
        <v>114</v>
      </c>
    </row>
    <row r="30" spans="1:3">
      <c r="B30" s="22"/>
      <c r="C30" s="16" t="s">
        <v>115</v>
      </c>
    </row>
    <row r="31" spans="1:3">
      <c r="B31" s="23"/>
      <c r="C31" s="16" t="s">
        <v>116</v>
      </c>
    </row>
    <row r="32" spans="1:3">
      <c r="B32" s="24"/>
      <c r="C32" s="16" t="s">
        <v>117</v>
      </c>
    </row>
    <row r="34" spans="1:1">
      <c r="A34" s="16" t="s">
        <v>118</v>
      </c>
    </row>
    <row r="37" spans="1:1" ht="20.25">
      <c r="A37" s="25" t="s">
        <v>119</v>
      </c>
    </row>
    <row r="39" spans="1:1">
      <c r="A39" s="26" t="s">
        <v>120</v>
      </c>
    </row>
    <row r="41" spans="1:1">
      <c r="A41" s="26" t="s">
        <v>121</v>
      </c>
    </row>
    <row r="42" spans="1:1">
      <c r="A42" s="26"/>
    </row>
    <row r="44" spans="1:1">
      <c r="A44" s="26"/>
    </row>
    <row r="45" spans="1:1">
      <c r="A45" s="26"/>
    </row>
  </sheetData>
  <mergeCells count="1">
    <mergeCell ref="A2:M2"/>
  </mergeCells>
  <conditionalFormatting sqref="B25">
    <cfRule type="expression" dxfId="1" priority="1">
      <formula>XER25="Transfer Fan"</formula>
    </cfRule>
    <cfRule type="expression" dxfId="0" priority="2">
      <formula>XER25="Parallel Fan Powered Box"</formula>
    </cfRule>
  </conditionalFormatting>
  <pageMargins left="0.7" right="0.7" top="0.75" bottom="0.75" header="0.3" footer="0.3"/>
  <pageSetup scale="53" fitToHeight="4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transitionEvaluation="1" codeName="Sheet21">
    <tabColor rgb="FF92D050"/>
  </sheetPr>
  <dimension ref="A1:W105"/>
  <sheetViews>
    <sheetView showGridLines="0" tabSelected="1" topLeftCell="B1" zoomScaleNormal="100" workbookViewId="0">
      <selection activeCell="B37" sqref="B37:C37"/>
    </sheetView>
  </sheetViews>
  <sheetFormatPr defaultColWidth="9.7109375" defaultRowHeight="11.25"/>
  <cols>
    <col min="1" max="1" width="3.7109375" style="28" hidden="1" customWidth="1"/>
    <col min="2" max="2" width="15.7109375" style="28" customWidth="1"/>
    <col min="3" max="3" width="30.7109375" style="28" customWidth="1"/>
    <col min="4" max="4" width="6.7109375" style="28" bestFit="1" customWidth="1"/>
    <col min="5" max="8" width="6.7109375" style="28" customWidth="1"/>
    <col min="9" max="9" width="10.7109375" style="28" customWidth="1"/>
    <col min="10" max="11" width="6.7109375" style="28" customWidth="1"/>
    <col min="12" max="12" width="8.7109375" style="28" customWidth="1"/>
    <col min="13" max="13" width="4.7109375" style="28" customWidth="1"/>
    <col min="14" max="14" width="3.7109375" style="28" customWidth="1"/>
    <col min="15" max="15" width="9.7109375" style="28"/>
    <col min="16" max="16" width="9.7109375" style="28" customWidth="1"/>
    <col min="17" max="17" width="12.140625" style="28" hidden="1" customWidth="1"/>
    <col min="18" max="19" width="9.7109375" style="28" hidden="1" customWidth="1"/>
    <col min="20" max="20" width="12.42578125" style="28" hidden="1" customWidth="1"/>
    <col min="21" max="21" width="13.28515625" style="28" hidden="1" customWidth="1"/>
    <col min="22" max="22" width="10.42578125" style="28" hidden="1" customWidth="1"/>
    <col min="23" max="16384" width="9.7109375" style="28"/>
  </cols>
  <sheetData>
    <row r="1" spans="1:13" ht="30" customHeight="1" thickBot="1"/>
    <row r="2" spans="1:13" s="60" customFormat="1" ht="12.95" customHeight="1">
      <c r="A2" s="60" t="s">
        <v>132</v>
      </c>
      <c r="B2" s="4" t="s">
        <v>0</v>
      </c>
      <c r="C2" s="192"/>
      <c r="D2" s="192"/>
      <c r="E2" s="192"/>
      <c r="F2" s="192"/>
      <c r="G2" s="192"/>
      <c r="H2" s="192"/>
      <c r="I2" s="193"/>
      <c r="J2" s="58"/>
      <c r="K2" s="58"/>
      <c r="L2" s="59"/>
    </row>
    <row r="3" spans="1:13" s="60" customFormat="1" ht="12.95" customHeight="1">
      <c r="B3" s="5" t="s">
        <v>1</v>
      </c>
      <c r="C3" s="194"/>
      <c r="D3" s="194"/>
      <c r="E3" s="194"/>
      <c r="F3" s="194"/>
      <c r="G3" s="194"/>
      <c r="H3" s="194"/>
      <c r="I3" s="195"/>
      <c r="J3" s="61"/>
      <c r="K3" s="61"/>
      <c r="L3" s="62"/>
    </row>
    <row r="4" spans="1:13" s="60" customFormat="1" ht="12.95" customHeight="1">
      <c r="B4" s="5" t="s">
        <v>2</v>
      </c>
      <c r="C4" s="194"/>
      <c r="D4" s="194"/>
      <c r="E4" s="194"/>
      <c r="F4" s="194"/>
      <c r="G4" s="194"/>
      <c r="H4" s="194"/>
      <c r="I4" s="195"/>
      <c r="J4" s="61"/>
      <c r="K4" s="61"/>
      <c r="L4" s="62"/>
    </row>
    <row r="5" spans="1:13" s="60" customFormat="1" ht="12.95" customHeight="1">
      <c r="B5" s="5" t="s">
        <v>3</v>
      </c>
      <c r="C5" s="196"/>
      <c r="D5" s="196"/>
      <c r="E5" s="196"/>
      <c r="F5" s="196"/>
      <c r="G5" s="196"/>
      <c r="H5" s="196"/>
      <c r="I5" s="197"/>
      <c r="J5" s="61"/>
      <c r="K5" s="61"/>
      <c r="L5" s="62"/>
    </row>
    <row r="6" spans="1:13" s="60" customFormat="1" ht="12.95" customHeight="1">
      <c r="B6" s="7" t="s">
        <v>4</v>
      </c>
      <c r="C6" s="186"/>
      <c r="D6" s="187"/>
      <c r="E6" s="187"/>
      <c r="F6" s="187"/>
      <c r="G6" s="187"/>
      <c r="H6" s="187"/>
      <c r="I6" s="188"/>
      <c r="J6" s="61"/>
      <c r="K6" s="61"/>
      <c r="L6" s="62"/>
    </row>
    <row r="7" spans="1:13" s="60" customFormat="1" ht="10.9" customHeight="1" thickBot="1">
      <c r="B7" s="6" t="s">
        <v>53</v>
      </c>
      <c r="C7" s="189"/>
      <c r="D7" s="190"/>
      <c r="E7" s="190"/>
      <c r="F7" s="190"/>
      <c r="G7" s="190"/>
      <c r="H7" s="190"/>
      <c r="I7" s="191"/>
      <c r="J7" s="63"/>
      <c r="K7" s="63"/>
      <c r="L7" s="64"/>
    </row>
    <row r="8" spans="1:13" ht="30" customHeight="1" thickBot="1">
      <c r="B8" s="183" t="s">
        <v>178</v>
      </c>
      <c r="C8" s="184"/>
      <c r="D8" s="184"/>
      <c r="E8" s="184"/>
      <c r="F8" s="184"/>
      <c r="G8" s="184"/>
      <c r="H8" s="184"/>
      <c r="I8" s="184"/>
      <c r="J8" s="184"/>
      <c r="K8" s="184"/>
      <c r="L8" s="185"/>
      <c r="M8" s="202" t="s">
        <v>171</v>
      </c>
    </row>
    <row r="9" spans="1:13" s="60" customFormat="1" ht="12.95" customHeight="1">
      <c r="B9" s="65"/>
      <c r="C9" s="66"/>
      <c r="D9" s="66"/>
      <c r="E9" s="177" t="s">
        <v>45</v>
      </c>
      <c r="F9" s="205" t="s">
        <v>43</v>
      </c>
      <c r="G9" s="128" t="s">
        <v>5</v>
      </c>
      <c r="H9" s="67" t="s">
        <v>6</v>
      </c>
      <c r="I9" s="129" t="s">
        <v>7</v>
      </c>
      <c r="J9" s="128" t="s">
        <v>8</v>
      </c>
      <c r="K9" s="67" t="s">
        <v>8</v>
      </c>
      <c r="L9" s="129" t="s">
        <v>8</v>
      </c>
      <c r="M9" s="203"/>
    </row>
    <row r="10" spans="1:13" s="60" customFormat="1" ht="12.95" customHeight="1">
      <c r="B10" s="175" t="s">
        <v>9</v>
      </c>
      <c r="C10" s="176"/>
      <c r="D10" s="129" t="s">
        <v>42</v>
      </c>
      <c r="E10" s="177"/>
      <c r="F10" s="205"/>
      <c r="G10" s="128" t="s">
        <v>10</v>
      </c>
      <c r="H10" s="67" t="s">
        <v>10</v>
      </c>
      <c r="I10" s="129" t="s">
        <v>10</v>
      </c>
      <c r="J10" s="128" t="s">
        <v>10</v>
      </c>
      <c r="K10" s="67" t="s">
        <v>10</v>
      </c>
      <c r="L10" s="129" t="s">
        <v>11</v>
      </c>
      <c r="M10" s="203"/>
    </row>
    <row r="11" spans="1:13" s="60" customFormat="1" ht="12.95" customHeight="1" thickBot="1">
      <c r="B11" s="68"/>
      <c r="C11" s="69"/>
      <c r="D11" s="69"/>
      <c r="E11" s="178"/>
      <c r="F11" s="206"/>
      <c r="G11" s="70" t="s">
        <v>44</v>
      </c>
      <c r="H11" s="71" t="s">
        <v>44</v>
      </c>
      <c r="I11" s="72" t="s">
        <v>44</v>
      </c>
      <c r="J11" s="70" t="s">
        <v>12</v>
      </c>
      <c r="K11" s="71" t="s">
        <v>13</v>
      </c>
      <c r="L11" s="72" t="s">
        <v>10</v>
      </c>
      <c r="M11" s="203"/>
    </row>
    <row r="12" spans="1:13" s="60" customFormat="1" ht="12.95" customHeight="1">
      <c r="B12" s="181" t="s">
        <v>47</v>
      </c>
      <c r="C12" s="182"/>
      <c r="D12" s="135"/>
      <c r="E12" s="73">
        <v>5</v>
      </c>
      <c r="F12" s="74">
        <f t="shared" ref="F12:F43" si="0">D12*E12</f>
        <v>0</v>
      </c>
      <c r="G12" s="75">
        <v>1.5</v>
      </c>
      <c r="H12" s="76">
        <v>2.7</v>
      </c>
      <c r="I12" s="77">
        <v>3.6</v>
      </c>
      <c r="J12" s="128">
        <f t="shared" ref="J12:J28" si="1">D12*G12</f>
        <v>0</v>
      </c>
      <c r="K12" s="67">
        <f t="shared" ref="K12:K28" si="2">D12*H12</f>
        <v>0</v>
      </c>
      <c r="L12" s="78">
        <f t="shared" ref="L12:L28" si="3">D12*I12</f>
        <v>0</v>
      </c>
      <c r="M12" s="203"/>
    </row>
    <row r="13" spans="1:13" s="60" customFormat="1" ht="12.95" customHeight="1">
      <c r="B13" s="173" t="s">
        <v>48</v>
      </c>
      <c r="C13" s="174"/>
      <c r="D13" s="136"/>
      <c r="E13" s="73">
        <v>6</v>
      </c>
      <c r="F13" s="74">
        <f t="shared" si="0"/>
        <v>0</v>
      </c>
      <c r="G13" s="75">
        <v>3</v>
      </c>
      <c r="H13" s="76">
        <v>6</v>
      </c>
      <c r="I13" s="77">
        <v>8</v>
      </c>
      <c r="J13" s="128">
        <f t="shared" si="1"/>
        <v>0</v>
      </c>
      <c r="K13" s="67">
        <f t="shared" si="2"/>
        <v>0</v>
      </c>
      <c r="L13" s="78">
        <f t="shared" si="3"/>
        <v>0</v>
      </c>
      <c r="M13" s="203"/>
    </row>
    <row r="14" spans="1:13" s="60" customFormat="1" ht="12.95" customHeight="1">
      <c r="B14" s="173" t="s">
        <v>14</v>
      </c>
      <c r="C14" s="174"/>
      <c r="D14" s="136"/>
      <c r="E14" s="73">
        <v>2</v>
      </c>
      <c r="F14" s="74">
        <f t="shared" si="0"/>
        <v>0</v>
      </c>
      <c r="G14" s="75">
        <v>1</v>
      </c>
      <c r="H14" s="76">
        <v>1</v>
      </c>
      <c r="I14" s="77">
        <v>1.4</v>
      </c>
      <c r="J14" s="128">
        <f t="shared" si="1"/>
        <v>0</v>
      </c>
      <c r="K14" s="67">
        <f t="shared" si="2"/>
        <v>0</v>
      </c>
      <c r="L14" s="78">
        <f t="shared" si="3"/>
        <v>0</v>
      </c>
      <c r="M14" s="203"/>
    </row>
    <row r="15" spans="1:13" s="60" customFormat="1" ht="12.95" customHeight="1">
      <c r="B15" s="173" t="s">
        <v>15</v>
      </c>
      <c r="C15" s="174"/>
      <c r="D15" s="136"/>
      <c r="E15" s="73">
        <v>1</v>
      </c>
      <c r="F15" s="74">
        <f t="shared" si="0"/>
        <v>0</v>
      </c>
      <c r="G15" s="75">
        <v>1.5</v>
      </c>
      <c r="H15" s="76">
        <v>1.5</v>
      </c>
      <c r="I15" s="77">
        <v>2</v>
      </c>
      <c r="J15" s="128">
        <f t="shared" si="1"/>
        <v>0</v>
      </c>
      <c r="K15" s="67">
        <f t="shared" si="2"/>
        <v>0</v>
      </c>
      <c r="L15" s="78">
        <f t="shared" si="3"/>
        <v>0</v>
      </c>
      <c r="M15" s="203"/>
    </row>
    <row r="16" spans="1:13" s="60" customFormat="1" ht="12.95" customHeight="1">
      <c r="B16" s="173" t="s">
        <v>16</v>
      </c>
      <c r="C16" s="174"/>
      <c r="D16" s="136"/>
      <c r="E16" s="73">
        <v>2</v>
      </c>
      <c r="F16" s="74">
        <f t="shared" si="0"/>
        <v>0</v>
      </c>
      <c r="G16" s="75">
        <v>1</v>
      </c>
      <c r="H16" s="76">
        <v>1</v>
      </c>
      <c r="I16" s="77">
        <v>1.4</v>
      </c>
      <c r="J16" s="128">
        <f t="shared" si="1"/>
        <v>0</v>
      </c>
      <c r="K16" s="67">
        <f t="shared" si="2"/>
        <v>0</v>
      </c>
      <c r="L16" s="78">
        <f t="shared" si="3"/>
        <v>0</v>
      </c>
      <c r="M16" s="203"/>
    </row>
    <row r="17" spans="2:13" s="60" customFormat="1" ht="12.95" customHeight="1">
      <c r="B17" s="173" t="s">
        <v>17</v>
      </c>
      <c r="C17" s="174"/>
      <c r="D17" s="136"/>
      <c r="E17" s="73">
        <v>3</v>
      </c>
      <c r="F17" s="74">
        <f t="shared" si="0"/>
        <v>0</v>
      </c>
      <c r="G17" s="75">
        <v>3</v>
      </c>
      <c r="H17" s="76">
        <v>3</v>
      </c>
      <c r="I17" s="77">
        <v>4</v>
      </c>
      <c r="J17" s="128">
        <f t="shared" si="1"/>
        <v>0</v>
      </c>
      <c r="K17" s="67">
        <f t="shared" si="2"/>
        <v>0</v>
      </c>
      <c r="L17" s="78">
        <f t="shared" si="3"/>
        <v>0</v>
      </c>
      <c r="M17" s="203"/>
    </row>
    <row r="18" spans="2:13" s="60" customFormat="1" ht="12.95" customHeight="1">
      <c r="B18" s="173" t="s">
        <v>19</v>
      </c>
      <c r="C18" s="174"/>
      <c r="D18" s="136"/>
      <c r="E18" s="73">
        <v>6</v>
      </c>
      <c r="F18" s="74">
        <f t="shared" si="0"/>
        <v>0</v>
      </c>
      <c r="G18" s="75">
        <v>1.5</v>
      </c>
      <c r="H18" s="76">
        <v>8</v>
      </c>
      <c r="I18" s="77">
        <v>8</v>
      </c>
      <c r="J18" s="128">
        <f t="shared" si="1"/>
        <v>0</v>
      </c>
      <c r="K18" s="67">
        <f t="shared" si="2"/>
        <v>0</v>
      </c>
      <c r="L18" s="78">
        <f t="shared" si="3"/>
        <v>0</v>
      </c>
      <c r="M18" s="203"/>
    </row>
    <row r="19" spans="2:13" s="60" customFormat="1" ht="12.95" customHeight="1">
      <c r="B19" s="173" t="s">
        <v>20</v>
      </c>
      <c r="C19" s="174"/>
      <c r="D19" s="136"/>
      <c r="E19" s="73">
        <v>2</v>
      </c>
      <c r="F19" s="74">
        <f t="shared" si="0"/>
        <v>0</v>
      </c>
      <c r="G19" s="75">
        <v>1.4</v>
      </c>
      <c r="H19" s="76">
        <v>0</v>
      </c>
      <c r="I19" s="77">
        <v>1.4</v>
      </c>
      <c r="J19" s="128">
        <f t="shared" si="1"/>
        <v>0</v>
      </c>
      <c r="K19" s="67">
        <f t="shared" si="2"/>
        <v>0</v>
      </c>
      <c r="L19" s="78">
        <f t="shared" si="3"/>
        <v>0</v>
      </c>
      <c r="M19" s="203"/>
    </row>
    <row r="20" spans="2:13" s="60" customFormat="1" ht="12.95" customHeight="1">
      <c r="B20" s="173" t="s">
        <v>21</v>
      </c>
      <c r="C20" s="174"/>
      <c r="D20" s="136"/>
      <c r="E20" s="73">
        <v>0.5</v>
      </c>
      <c r="F20" s="74">
        <f t="shared" si="0"/>
        <v>0</v>
      </c>
      <c r="G20" s="75">
        <v>0</v>
      </c>
      <c r="H20" s="76">
        <v>0.25</v>
      </c>
      <c r="I20" s="77">
        <v>0.25</v>
      </c>
      <c r="J20" s="128">
        <f t="shared" si="1"/>
        <v>0</v>
      </c>
      <c r="K20" s="67">
        <f t="shared" si="2"/>
        <v>0</v>
      </c>
      <c r="L20" s="78">
        <f t="shared" si="3"/>
        <v>0</v>
      </c>
      <c r="M20" s="203"/>
    </row>
    <row r="21" spans="2:13" s="60" customFormat="1" ht="12.95" customHeight="1">
      <c r="B21" s="173" t="s">
        <v>51</v>
      </c>
      <c r="C21" s="174"/>
      <c r="D21" s="136"/>
      <c r="E21" s="73">
        <v>2</v>
      </c>
      <c r="F21" s="74">
        <f t="shared" si="0"/>
        <v>0</v>
      </c>
      <c r="G21" s="75">
        <v>1</v>
      </c>
      <c r="H21" s="76">
        <v>1</v>
      </c>
      <c r="I21" s="77">
        <v>1.4</v>
      </c>
      <c r="J21" s="128">
        <f t="shared" si="1"/>
        <v>0</v>
      </c>
      <c r="K21" s="67">
        <f t="shared" si="2"/>
        <v>0</v>
      </c>
      <c r="L21" s="78">
        <f t="shared" si="3"/>
        <v>0</v>
      </c>
      <c r="M21" s="203"/>
    </row>
    <row r="22" spans="2:13" s="60" customFormat="1" ht="12.95" customHeight="1">
      <c r="B22" s="173" t="s">
        <v>22</v>
      </c>
      <c r="C22" s="174"/>
      <c r="D22" s="136"/>
      <c r="E22" s="73">
        <v>2</v>
      </c>
      <c r="F22" s="74">
        <f t="shared" si="0"/>
        <v>0</v>
      </c>
      <c r="G22" s="75">
        <v>3</v>
      </c>
      <c r="H22" s="76">
        <v>3</v>
      </c>
      <c r="I22" s="77">
        <v>4</v>
      </c>
      <c r="J22" s="128">
        <f t="shared" si="1"/>
        <v>0</v>
      </c>
      <c r="K22" s="67">
        <f t="shared" si="2"/>
        <v>0</v>
      </c>
      <c r="L22" s="78">
        <f t="shared" si="3"/>
        <v>0</v>
      </c>
      <c r="M22" s="203"/>
    </row>
    <row r="23" spans="2:13" s="60" customFormat="1" ht="12.95" customHeight="1">
      <c r="B23" s="173" t="s">
        <v>23</v>
      </c>
      <c r="C23" s="174"/>
      <c r="D23" s="136"/>
      <c r="E23" s="73">
        <v>6</v>
      </c>
      <c r="F23" s="74">
        <f t="shared" si="0"/>
        <v>0</v>
      </c>
      <c r="G23" s="75">
        <v>3</v>
      </c>
      <c r="H23" s="76">
        <v>3</v>
      </c>
      <c r="I23" s="77">
        <v>4</v>
      </c>
      <c r="J23" s="128">
        <f t="shared" si="1"/>
        <v>0</v>
      </c>
      <c r="K23" s="67">
        <f t="shared" si="2"/>
        <v>0</v>
      </c>
      <c r="L23" s="78">
        <f t="shared" si="3"/>
        <v>0</v>
      </c>
      <c r="M23" s="203"/>
    </row>
    <row r="24" spans="2:13" s="60" customFormat="1" ht="12.95" customHeight="1">
      <c r="B24" s="173" t="s">
        <v>52</v>
      </c>
      <c r="C24" s="174"/>
      <c r="D24" s="136"/>
      <c r="E24" s="73">
        <v>2</v>
      </c>
      <c r="F24" s="74">
        <f t="shared" si="0"/>
        <v>0</v>
      </c>
      <c r="G24" s="75">
        <v>1</v>
      </c>
      <c r="H24" s="76">
        <v>1</v>
      </c>
      <c r="I24" s="77">
        <v>1.4</v>
      </c>
      <c r="J24" s="128">
        <f t="shared" si="1"/>
        <v>0</v>
      </c>
      <c r="K24" s="67">
        <f t="shared" si="2"/>
        <v>0</v>
      </c>
      <c r="L24" s="78">
        <f t="shared" si="3"/>
        <v>0</v>
      </c>
      <c r="M24" s="203"/>
    </row>
    <row r="25" spans="2:13" s="60" customFormat="1" ht="12.95" customHeight="1">
      <c r="B25" s="173" t="s">
        <v>24</v>
      </c>
      <c r="C25" s="174"/>
      <c r="D25" s="136"/>
      <c r="E25" s="73">
        <v>1</v>
      </c>
      <c r="F25" s="74">
        <f t="shared" si="0"/>
        <v>0</v>
      </c>
      <c r="G25" s="75">
        <v>0.5</v>
      </c>
      <c r="H25" s="76">
        <v>0.5</v>
      </c>
      <c r="I25" s="77">
        <v>0.7</v>
      </c>
      <c r="J25" s="128">
        <f t="shared" si="1"/>
        <v>0</v>
      </c>
      <c r="K25" s="67">
        <f t="shared" si="2"/>
        <v>0</v>
      </c>
      <c r="L25" s="78">
        <f t="shared" si="3"/>
        <v>0</v>
      </c>
      <c r="M25" s="203"/>
    </row>
    <row r="26" spans="2:13" s="60" customFormat="1" ht="12.95" customHeight="1">
      <c r="B26" s="173" t="s">
        <v>25</v>
      </c>
      <c r="C26" s="174"/>
      <c r="D26" s="136"/>
      <c r="E26" s="73">
        <v>1</v>
      </c>
      <c r="F26" s="74">
        <f t="shared" si="0"/>
        <v>0</v>
      </c>
      <c r="G26" s="75">
        <v>1.5</v>
      </c>
      <c r="H26" s="76">
        <v>1.5</v>
      </c>
      <c r="I26" s="77">
        <v>2</v>
      </c>
      <c r="J26" s="128">
        <f t="shared" si="1"/>
        <v>0</v>
      </c>
      <c r="K26" s="67">
        <f t="shared" si="2"/>
        <v>0</v>
      </c>
      <c r="L26" s="78">
        <f t="shared" si="3"/>
        <v>0</v>
      </c>
      <c r="M26" s="203"/>
    </row>
    <row r="27" spans="2:13" s="60" customFormat="1" ht="12.95" customHeight="1">
      <c r="B27" s="173" t="s">
        <v>26</v>
      </c>
      <c r="C27" s="174"/>
      <c r="D27" s="136"/>
      <c r="E27" s="73">
        <v>3</v>
      </c>
      <c r="F27" s="74">
        <f t="shared" si="0"/>
        <v>0</v>
      </c>
      <c r="G27" s="75">
        <v>2.25</v>
      </c>
      <c r="H27" s="76">
        <v>2.25</v>
      </c>
      <c r="I27" s="77">
        <v>3</v>
      </c>
      <c r="J27" s="128">
        <f t="shared" si="1"/>
        <v>0</v>
      </c>
      <c r="K27" s="67">
        <f t="shared" si="2"/>
        <v>0</v>
      </c>
      <c r="L27" s="78">
        <f t="shared" si="3"/>
        <v>0</v>
      </c>
      <c r="M27" s="203"/>
    </row>
    <row r="28" spans="2:13" s="60" customFormat="1" ht="12.95" customHeight="1">
      <c r="B28" s="173" t="s">
        <v>27</v>
      </c>
      <c r="C28" s="174"/>
      <c r="D28" s="136"/>
      <c r="E28" s="73">
        <v>2</v>
      </c>
      <c r="F28" s="74">
        <f t="shared" si="0"/>
        <v>0</v>
      </c>
      <c r="G28" s="75">
        <v>2</v>
      </c>
      <c r="H28" s="76">
        <v>2</v>
      </c>
      <c r="I28" s="77">
        <v>3</v>
      </c>
      <c r="J28" s="128">
        <f t="shared" si="1"/>
        <v>0</v>
      </c>
      <c r="K28" s="67">
        <f t="shared" si="2"/>
        <v>0</v>
      </c>
      <c r="L28" s="78">
        <f t="shared" si="3"/>
        <v>0</v>
      </c>
      <c r="M28" s="203"/>
    </row>
    <row r="29" spans="2:13" s="60" customFormat="1" ht="12.95" customHeight="1">
      <c r="B29" s="173" t="s">
        <v>28</v>
      </c>
      <c r="C29" s="174"/>
      <c r="D29" s="136"/>
      <c r="E29" s="73">
        <v>2</v>
      </c>
      <c r="F29" s="74">
        <f t="shared" si="0"/>
        <v>0</v>
      </c>
      <c r="G29" s="75">
        <v>0</v>
      </c>
      <c r="H29" s="76">
        <v>0</v>
      </c>
      <c r="I29" s="77">
        <v>0</v>
      </c>
      <c r="J29" s="128">
        <v>0</v>
      </c>
      <c r="K29" s="67">
        <v>0</v>
      </c>
      <c r="L29" s="78">
        <v>0</v>
      </c>
      <c r="M29" s="203"/>
    </row>
    <row r="30" spans="2:13" s="60" customFormat="1" ht="12.95" customHeight="1">
      <c r="B30" s="173" t="s">
        <v>49</v>
      </c>
      <c r="C30" s="174"/>
      <c r="D30" s="136"/>
      <c r="E30" s="73">
        <v>2</v>
      </c>
      <c r="F30" s="74">
        <f t="shared" si="0"/>
        <v>0</v>
      </c>
      <c r="G30" s="75">
        <v>3</v>
      </c>
      <c r="H30" s="76">
        <v>3</v>
      </c>
      <c r="I30" s="77">
        <v>4</v>
      </c>
      <c r="J30" s="128">
        <f t="shared" ref="J30:J43" si="4">D30*G30</f>
        <v>0</v>
      </c>
      <c r="K30" s="67">
        <f t="shared" ref="K30:K43" si="5">D30*H30</f>
        <v>0</v>
      </c>
      <c r="L30" s="78">
        <f t="shared" ref="L30:L43" si="6">D30*I30</f>
        <v>0</v>
      </c>
      <c r="M30" s="203"/>
    </row>
    <row r="31" spans="2:13" s="60" customFormat="1" ht="12.95" customHeight="1">
      <c r="B31" s="173" t="s">
        <v>177</v>
      </c>
      <c r="C31" s="174"/>
      <c r="D31" s="136"/>
      <c r="E31" s="73">
        <v>2</v>
      </c>
      <c r="F31" s="74">
        <f t="shared" si="0"/>
        <v>0</v>
      </c>
      <c r="G31" s="75">
        <v>1</v>
      </c>
      <c r="H31" s="76">
        <v>1</v>
      </c>
      <c r="I31" s="77">
        <v>1.4</v>
      </c>
      <c r="J31" s="128">
        <f t="shared" si="4"/>
        <v>0</v>
      </c>
      <c r="K31" s="67">
        <f t="shared" si="5"/>
        <v>0</v>
      </c>
      <c r="L31" s="78">
        <f t="shared" si="6"/>
        <v>0</v>
      </c>
      <c r="M31" s="203"/>
    </row>
    <row r="32" spans="2:13" s="60" customFormat="1" ht="12.95" customHeight="1">
      <c r="B32" s="173" t="s">
        <v>29</v>
      </c>
      <c r="C32" s="174"/>
      <c r="D32" s="136"/>
      <c r="E32" s="73">
        <v>2</v>
      </c>
      <c r="F32" s="74">
        <f t="shared" si="0"/>
        <v>0</v>
      </c>
      <c r="G32" s="75">
        <v>0</v>
      </c>
      <c r="H32" s="76">
        <v>5</v>
      </c>
      <c r="I32" s="77">
        <v>5</v>
      </c>
      <c r="J32" s="128">
        <f t="shared" si="4"/>
        <v>0</v>
      </c>
      <c r="K32" s="67">
        <f t="shared" si="5"/>
        <v>0</v>
      </c>
      <c r="L32" s="78">
        <f t="shared" si="6"/>
        <v>0</v>
      </c>
      <c r="M32" s="203"/>
    </row>
    <row r="33" spans="2:13" s="60" customFormat="1" ht="12.95" customHeight="1">
      <c r="B33" s="173" t="s">
        <v>71</v>
      </c>
      <c r="C33" s="174"/>
      <c r="D33" s="136"/>
      <c r="E33" s="73">
        <v>2</v>
      </c>
      <c r="F33" s="74">
        <f>D33*E33</f>
        <v>0</v>
      </c>
      <c r="G33" s="75">
        <v>0</v>
      </c>
      <c r="H33" s="76">
        <v>2</v>
      </c>
      <c r="I33" s="77">
        <v>2</v>
      </c>
      <c r="J33" s="128">
        <f>D33*G33</f>
        <v>0</v>
      </c>
      <c r="K33" s="67">
        <f>D33*H33</f>
        <v>0</v>
      </c>
      <c r="L33" s="78">
        <f>D33*I33</f>
        <v>0</v>
      </c>
      <c r="M33" s="203"/>
    </row>
    <row r="34" spans="2:13" s="60" customFormat="1" ht="12.95" customHeight="1">
      <c r="B34" s="173" t="s">
        <v>72</v>
      </c>
      <c r="C34" s="174"/>
      <c r="D34" s="136"/>
      <c r="E34" s="73">
        <v>0.5</v>
      </c>
      <c r="F34" s="74">
        <f>D34*E34</f>
        <v>0</v>
      </c>
      <c r="G34" s="75">
        <v>0</v>
      </c>
      <c r="H34" s="76">
        <v>0</v>
      </c>
      <c r="I34" s="77">
        <v>0</v>
      </c>
      <c r="J34" s="128">
        <f>D34*G34</f>
        <v>0</v>
      </c>
      <c r="K34" s="67">
        <f>D34*H34</f>
        <v>0</v>
      </c>
      <c r="L34" s="78">
        <f>D34*I34</f>
        <v>0</v>
      </c>
      <c r="M34" s="203"/>
    </row>
    <row r="35" spans="2:13" s="60" customFormat="1" ht="12.95" customHeight="1">
      <c r="B35" s="173" t="s">
        <v>30</v>
      </c>
      <c r="C35" s="174"/>
      <c r="D35" s="136"/>
      <c r="E35" s="73">
        <v>0</v>
      </c>
      <c r="F35" s="74">
        <f t="shared" si="0"/>
        <v>0</v>
      </c>
      <c r="G35" s="75">
        <v>0</v>
      </c>
      <c r="H35" s="76">
        <v>5</v>
      </c>
      <c r="I35" s="77">
        <v>5</v>
      </c>
      <c r="J35" s="128">
        <f t="shared" si="4"/>
        <v>0</v>
      </c>
      <c r="K35" s="67">
        <f t="shared" si="5"/>
        <v>0</v>
      </c>
      <c r="L35" s="78">
        <f t="shared" si="6"/>
        <v>0</v>
      </c>
      <c r="M35" s="203"/>
    </row>
    <row r="36" spans="2:13" s="60" customFormat="1" ht="12.95" customHeight="1">
      <c r="B36" s="173" t="s">
        <v>31</v>
      </c>
      <c r="C36" s="174"/>
      <c r="D36" s="136"/>
      <c r="E36" s="73">
        <v>0</v>
      </c>
      <c r="F36" s="74">
        <f t="shared" si="0"/>
        <v>0</v>
      </c>
      <c r="G36" s="75">
        <v>0</v>
      </c>
      <c r="H36" s="76">
        <v>5</v>
      </c>
      <c r="I36" s="77">
        <v>5</v>
      </c>
      <c r="J36" s="128">
        <f t="shared" si="4"/>
        <v>0</v>
      </c>
      <c r="K36" s="67">
        <f t="shared" si="5"/>
        <v>0</v>
      </c>
      <c r="L36" s="78">
        <f t="shared" si="6"/>
        <v>0</v>
      </c>
      <c r="M36" s="203"/>
    </row>
    <row r="37" spans="2:13" s="60" customFormat="1" ht="12.95" customHeight="1">
      <c r="B37" s="173" t="s">
        <v>185</v>
      </c>
      <c r="C37" s="174"/>
      <c r="D37" s="136"/>
      <c r="E37" s="73">
        <v>4</v>
      </c>
      <c r="F37" s="74">
        <f t="shared" si="0"/>
        <v>0</v>
      </c>
      <c r="G37" s="75">
        <v>0</v>
      </c>
      <c r="H37" s="76">
        <v>2</v>
      </c>
      <c r="I37" s="77">
        <v>2</v>
      </c>
      <c r="J37" s="128">
        <f t="shared" si="4"/>
        <v>0</v>
      </c>
      <c r="K37" s="67">
        <f t="shared" si="5"/>
        <v>0</v>
      </c>
      <c r="L37" s="78">
        <f t="shared" si="6"/>
        <v>0</v>
      </c>
      <c r="M37" s="203"/>
    </row>
    <row r="38" spans="2:13" s="60" customFormat="1" ht="12.95" customHeight="1">
      <c r="B38" s="173" t="s">
        <v>32</v>
      </c>
      <c r="C38" s="174"/>
      <c r="D38" s="136"/>
      <c r="E38" s="73">
        <v>3</v>
      </c>
      <c r="F38" s="74">
        <f t="shared" si="0"/>
        <v>0</v>
      </c>
      <c r="G38" s="75">
        <v>0</v>
      </c>
      <c r="H38" s="76">
        <v>2.2000000000000002</v>
      </c>
      <c r="I38" s="77">
        <v>2.2000000000000002</v>
      </c>
      <c r="J38" s="128">
        <f t="shared" si="4"/>
        <v>0</v>
      </c>
      <c r="K38" s="67">
        <f t="shared" si="5"/>
        <v>0</v>
      </c>
      <c r="L38" s="78">
        <f t="shared" si="6"/>
        <v>0</v>
      </c>
      <c r="M38" s="203"/>
    </row>
    <row r="39" spans="2:13" s="60" customFormat="1" ht="12.95" customHeight="1">
      <c r="B39" s="173" t="s">
        <v>33</v>
      </c>
      <c r="C39" s="174"/>
      <c r="D39" s="136"/>
      <c r="E39" s="73">
        <v>4</v>
      </c>
      <c r="F39" s="74">
        <f t="shared" si="0"/>
        <v>0</v>
      </c>
      <c r="G39" s="75">
        <v>0</v>
      </c>
      <c r="H39" s="76">
        <v>5</v>
      </c>
      <c r="I39" s="77">
        <v>5</v>
      </c>
      <c r="J39" s="128">
        <f t="shared" si="4"/>
        <v>0</v>
      </c>
      <c r="K39" s="67">
        <f t="shared" si="5"/>
        <v>0</v>
      </c>
      <c r="L39" s="78">
        <f t="shared" si="6"/>
        <v>0</v>
      </c>
      <c r="M39" s="203"/>
    </row>
    <row r="40" spans="2:13" s="60" customFormat="1" ht="12.95" customHeight="1">
      <c r="B40" s="173" t="s">
        <v>34</v>
      </c>
      <c r="C40" s="174"/>
      <c r="D40" s="136"/>
      <c r="E40" s="73">
        <v>3</v>
      </c>
      <c r="F40" s="74">
        <f t="shared" si="0"/>
        <v>0</v>
      </c>
      <c r="G40" s="75">
        <v>0</v>
      </c>
      <c r="H40" s="76">
        <v>6</v>
      </c>
      <c r="I40" s="77">
        <v>6</v>
      </c>
      <c r="J40" s="128">
        <f t="shared" si="4"/>
        <v>0</v>
      </c>
      <c r="K40" s="67">
        <f t="shared" si="5"/>
        <v>0</v>
      </c>
      <c r="L40" s="78">
        <f t="shared" si="6"/>
        <v>0</v>
      </c>
      <c r="M40" s="203"/>
    </row>
    <row r="41" spans="2:13" s="60" customFormat="1" ht="12.95" customHeight="1">
      <c r="B41" s="173" t="s">
        <v>35</v>
      </c>
      <c r="C41" s="174"/>
      <c r="D41" s="136"/>
      <c r="E41" s="73">
        <v>4</v>
      </c>
      <c r="F41" s="74">
        <f t="shared" si="0"/>
        <v>0</v>
      </c>
      <c r="G41" s="75">
        <v>0</v>
      </c>
      <c r="H41" s="76">
        <v>10</v>
      </c>
      <c r="I41" s="77">
        <v>10</v>
      </c>
      <c r="J41" s="128">
        <f t="shared" si="4"/>
        <v>0</v>
      </c>
      <c r="K41" s="67">
        <f t="shared" si="5"/>
        <v>0</v>
      </c>
      <c r="L41" s="78">
        <f t="shared" si="6"/>
        <v>0</v>
      </c>
      <c r="M41" s="203"/>
    </row>
    <row r="42" spans="2:13" s="60" customFormat="1" ht="12.95" customHeight="1">
      <c r="B42" s="173" t="s">
        <v>50</v>
      </c>
      <c r="C42" s="174"/>
      <c r="D42" s="136"/>
      <c r="E42" s="73">
        <v>6</v>
      </c>
      <c r="F42" s="74">
        <f t="shared" si="0"/>
        <v>0</v>
      </c>
      <c r="G42" s="75">
        <v>0</v>
      </c>
      <c r="H42" s="76">
        <v>10</v>
      </c>
      <c r="I42" s="77">
        <v>10</v>
      </c>
      <c r="J42" s="128">
        <f t="shared" si="4"/>
        <v>0</v>
      </c>
      <c r="K42" s="67">
        <f t="shared" si="5"/>
        <v>0</v>
      </c>
      <c r="L42" s="78">
        <f t="shared" si="6"/>
        <v>0</v>
      </c>
      <c r="M42" s="203"/>
    </row>
    <row r="43" spans="2:13" s="60" customFormat="1" ht="12.95" customHeight="1" thickBot="1">
      <c r="B43" s="179" t="s">
        <v>36</v>
      </c>
      <c r="C43" s="180"/>
      <c r="D43" s="137"/>
      <c r="E43" s="79">
        <f>1/7.5</f>
        <v>0.13333333333333333</v>
      </c>
      <c r="F43" s="80">
        <f t="shared" si="0"/>
        <v>0</v>
      </c>
      <c r="G43" s="81">
        <v>0</v>
      </c>
      <c r="H43" s="82">
        <f>1/7.5</f>
        <v>0.13333333333333333</v>
      </c>
      <c r="I43" s="83">
        <f>1/7.5</f>
        <v>0.13333333333333333</v>
      </c>
      <c r="J43" s="70">
        <f t="shared" si="4"/>
        <v>0</v>
      </c>
      <c r="K43" s="71">
        <f t="shared" si="5"/>
        <v>0</v>
      </c>
      <c r="L43" s="84">
        <f t="shared" si="6"/>
        <v>0</v>
      </c>
      <c r="M43" s="203"/>
    </row>
    <row r="44" spans="2:13" s="87" customFormat="1" ht="12.95" customHeight="1" thickBot="1">
      <c r="B44" s="199" t="s">
        <v>37</v>
      </c>
      <c r="C44" s="200"/>
      <c r="D44" s="85"/>
      <c r="E44" s="85"/>
      <c r="F44" s="85"/>
      <c r="G44" s="85"/>
      <c r="H44" s="85"/>
      <c r="I44" s="85"/>
      <c r="J44" s="85"/>
      <c r="K44" s="85"/>
      <c r="L44" s="86"/>
      <c r="M44" s="203"/>
    </row>
    <row r="45" spans="2:13" s="87" customFormat="1" ht="12.95" customHeight="1">
      <c r="B45" s="173" t="s">
        <v>73</v>
      </c>
      <c r="C45" s="174"/>
      <c r="D45" s="138"/>
      <c r="E45" s="88">
        <v>6</v>
      </c>
      <c r="F45" s="74">
        <f>D45*E45</f>
        <v>0</v>
      </c>
      <c r="G45" s="89">
        <v>7.5</v>
      </c>
      <c r="H45" s="90">
        <v>7.5</v>
      </c>
      <c r="I45" s="91">
        <v>10</v>
      </c>
      <c r="J45" s="92">
        <f>D45*G45</f>
        <v>0</v>
      </c>
      <c r="K45" s="67">
        <f>D45*H45</f>
        <v>0</v>
      </c>
      <c r="L45" s="78">
        <f>D45*I45</f>
        <v>0</v>
      </c>
      <c r="M45" s="203"/>
    </row>
    <row r="46" spans="2:13" s="87" customFormat="1" ht="12.95" customHeight="1">
      <c r="B46" s="173" t="s">
        <v>38</v>
      </c>
      <c r="C46" s="174"/>
      <c r="D46" s="139"/>
      <c r="E46" s="93">
        <v>3</v>
      </c>
      <c r="F46" s="74">
        <f t="shared" ref="F46:F62" si="7">D46*E46</f>
        <v>0</v>
      </c>
      <c r="G46" s="94">
        <v>0</v>
      </c>
      <c r="H46" s="95">
        <v>2</v>
      </c>
      <c r="I46" s="96">
        <v>2</v>
      </c>
      <c r="J46" s="92">
        <f t="shared" ref="J46:J62" si="8">D46*G46</f>
        <v>0</v>
      </c>
      <c r="K46" s="67">
        <f t="shared" ref="K46:K62" si="9">D46*H46</f>
        <v>0</v>
      </c>
      <c r="L46" s="78">
        <f t="shared" ref="L46:L62" si="10">D46*I46</f>
        <v>0</v>
      </c>
      <c r="M46" s="203"/>
    </row>
    <row r="47" spans="2:13" s="87" customFormat="1" ht="12.95" customHeight="1">
      <c r="B47" s="173" t="s">
        <v>39</v>
      </c>
      <c r="C47" s="198"/>
      <c r="D47" s="139"/>
      <c r="E47" s="93">
        <v>5</v>
      </c>
      <c r="F47" s="74">
        <f t="shared" si="7"/>
        <v>0</v>
      </c>
      <c r="G47" s="94">
        <v>0</v>
      </c>
      <c r="H47" s="95">
        <v>2</v>
      </c>
      <c r="I47" s="96">
        <v>2</v>
      </c>
      <c r="J47" s="92">
        <f t="shared" si="8"/>
        <v>0</v>
      </c>
      <c r="K47" s="67">
        <f t="shared" si="9"/>
        <v>0</v>
      </c>
      <c r="L47" s="78">
        <f t="shared" si="10"/>
        <v>0</v>
      </c>
      <c r="M47" s="203"/>
    </row>
    <row r="48" spans="2:13" s="87" customFormat="1" ht="12.95" customHeight="1">
      <c r="B48" s="173" t="s">
        <v>40</v>
      </c>
      <c r="C48" s="174"/>
      <c r="D48" s="139"/>
      <c r="E48" s="93">
        <v>2</v>
      </c>
      <c r="F48" s="74">
        <f t="shared" si="7"/>
        <v>0</v>
      </c>
      <c r="G48" s="94">
        <v>1.5</v>
      </c>
      <c r="H48" s="95">
        <v>1.5</v>
      </c>
      <c r="I48" s="96">
        <v>2</v>
      </c>
      <c r="J48" s="92">
        <f t="shared" si="8"/>
        <v>0</v>
      </c>
      <c r="K48" s="67">
        <f t="shared" si="9"/>
        <v>0</v>
      </c>
      <c r="L48" s="78">
        <f t="shared" si="10"/>
        <v>0</v>
      </c>
      <c r="M48" s="203"/>
    </row>
    <row r="49" spans="2:23" s="87" customFormat="1" ht="12.95" customHeight="1">
      <c r="B49" s="173" t="s">
        <v>74</v>
      </c>
      <c r="C49" s="174"/>
      <c r="D49" s="139"/>
      <c r="E49" s="93">
        <v>2</v>
      </c>
      <c r="F49" s="74">
        <f t="shared" si="7"/>
        <v>0</v>
      </c>
      <c r="G49" s="94">
        <v>1.5</v>
      </c>
      <c r="H49" s="95">
        <v>1.5</v>
      </c>
      <c r="I49" s="96">
        <v>2</v>
      </c>
      <c r="J49" s="92">
        <f t="shared" si="8"/>
        <v>0</v>
      </c>
      <c r="K49" s="67">
        <f t="shared" si="9"/>
        <v>0</v>
      </c>
      <c r="L49" s="78">
        <f t="shared" si="10"/>
        <v>0</v>
      </c>
      <c r="M49" s="203"/>
    </row>
    <row r="50" spans="2:23" s="87" customFormat="1" ht="12.95" customHeight="1">
      <c r="B50" s="173" t="s">
        <v>75</v>
      </c>
      <c r="C50" s="174"/>
      <c r="D50" s="139"/>
      <c r="E50" s="93">
        <v>2</v>
      </c>
      <c r="F50" s="74">
        <f t="shared" si="7"/>
        <v>0</v>
      </c>
      <c r="G50" s="94">
        <v>1.5</v>
      </c>
      <c r="H50" s="95">
        <v>1.5</v>
      </c>
      <c r="I50" s="96">
        <v>2</v>
      </c>
      <c r="J50" s="92">
        <f t="shared" si="8"/>
        <v>0</v>
      </c>
      <c r="K50" s="67">
        <f t="shared" si="9"/>
        <v>0</v>
      </c>
      <c r="L50" s="78">
        <f t="shared" si="10"/>
        <v>0</v>
      </c>
      <c r="M50" s="203"/>
    </row>
    <row r="51" spans="2:23" s="87" customFormat="1" ht="12.95" customHeight="1">
      <c r="B51" s="173" t="s">
        <v>76</v>
      </c>
      <c r="C51" s="174"/>
      <c r="D51" s="139"/>
      <c r="E51" s="93">
        <v>2</v>
      </c>
      <c r="F51" s="74">
        <f t="shared" si="7"/>
        <v>0</v>
      </c>
      <c r="G51" s="94">
        <v>1.5</v>
      </c>
      <c r="H51" s="95">
        <v>1.5</v>
      </c>
      <c r="I51" s="96">
        <v>2</v>
      </c>
      <c r="J51" s="92">
        <f t="shared" si="8"/>
        <v>0</v>
      </c>
      <c r="K51" s="67">
        <f t="shared" si="9"/>
        <v>0</v>
      </c>
      <c r="L51" s="78">
        <f t="shared" si="10"/>
        <v>0</v>
      </c>
      <c r="M51" s="203"/>
    </row>
    <row r="52" spans="2:23" s="87" customFormat="1" ht="12.95" customHeight="1">
      <c r="B52" s="173" t="s">
        <v>77</v>
      </c>
      <c r="C52" s="174"/>
      <c r="D52" s="139"/>
      <c r="E52" s="93">
        <v>3</v>
      </c>
      <c r="F52" s="74">
        <f t="shared" si="7"/>
        <v>0</v>
      </c>
      <c r="G52" s="94">
        <v>1.5</v>
      </c>
      <c r="H52" s="95">
        <v>1.5</v>
      </c>
      <c r="I52" s="96">
        <v>2</v>
      </c>
      <c r="J52" s="92">
        <f t="shared" si="8"/>
        <v>0</v>
      </c>
      <c r="K52" s="67">
        <f t="shared" si="9"/>
        <v>0</v>
      </c>
      <c r="L52" s="78">
        <f t="shared" si="10"/>
        <v>0</v>
      </c>
      <c r="M52" s="203"/>
    </row>
    <row r="53" spans="2:23" s="87" customFormat="1" ht="12.95" customHeight="1">
      <c r="B53" s="173" t="s">
        <v>78</v>
      </c>
      <c r="C53" s="174"/>
      <c r="D53" s="139"/>
      <c r="E53" s="93">
        <v>3</v>
      </c>
      <c r="F53" s="74">
        <f t="shared" si="7"/>
        <v>0</v>
      </c>
      <c r="G53" s="94">
        <v>1.5</v>
      </c>
      <c r="H53" s="95">
        <v>1.5</v>
      </c>
      <c r="I53" s="96">
        <v>2</v>
      </c>
      <c r="J53" s="92">
        <f t="shared" si="8"/>
        <v>0</v>
      </c>
      <c r="K53" s="67">
        <f t="shared" si="9"/>
        <v>0</v>
      </c>
      <c r="L53" s="78">
        <f t="shared" si="10"/>
        <v>0</v>
      </c>
      <c r="M53" s="203"/>
    </row>
    <row r="54" spans="2:23" s="87" customFormat="1" ht="12.95" customHeight="1">
      <c r="B54" s="173" t="s">
        <v>79</v>
      </c>
      <c r="C54" s="174"/>
      <c r="D54" s="139"/>
      <c r="E54" s="93">
        <v>3</v>
      </c>
      <c r="F54" s="74">
        <f t="shared" si="7"/>
        <v>0</v>
      </c>
      <c r="G54" s="94">
        <v>3</v>
      </c>
      <c r="H54" s="95">
        <v>3</v>
      </c>
      <c r="I54" s="96">
        <v>4</v>
      </c>
      <c r="J54" s="92">
        <f t="shared" si="8"/>
        <v>0</v>
      </c>
      <c r="K54" s="67">
        <f t="shared" si="9"/>
        <v>0</v>
      </c>
      <c r="L54" s="78">
        <f t="shared" si="10"/>
        <v>0</v>
      </c>
      <c r="M54" s="203"/>
    </row>
    <row r="55" spans="2:23" s="87" customFormat="1" ht="12.95" customHeight="1">
      <c r="B55" s="173" t="s">
        <v>80</v>
      </c>
      <c r="C55" s="174"/>
      <c r="D55" s="139"/>
      <c r="E55" s="93">
        <v>3</v>
      </c>
      <c r="F55" s="74">
        <f t="shared" si="7"/>
        <v>0</v>
      </c>
      <c r="G55" s="94">
        <v>6</v>
      </c>
      <c r="H55" s="95">
        <v>0</v>
      </c>
      <c r="I55" s="96">
        <v>6</v>
      </c>
      <c r="J55" s="92">
        <f t="shared" si="8"/>
        <v>0</v>
      </c>
      <c r="K55" s="67">
        <f t="shared" si="9"/>
        <v>0</v>
      </c>
      <c r="L55" s="78">
        <f t="shared" si="10"/>
        <v>0</v>
      </c>
      <c r="M55" s="203"/>
    </row>
    <row r="56" spans="2:23" s="60" customFormat="1" ht="12.95" customHeight="1">
      <c r="B56" s="173" t="s">
        <v>81</v>
      </c>
      <c r="C56" s="174"/>
      <c r="D56" s="139"/>
      <c r="E56" s="93">
        <v>0.5</v>
      </c>
      <c r="F56" s="74">
        <f t="shared" si="7"/>
        <v>0</v>
      </c>
      <c r="G56" s="94">
        <v>0</v>
      </c>
      <c r="H56" s="95">
        <v>1</v>
      </c>
      <c r="I56" s="96">
        <v>1</v>
      </c>
      <c r="J56" s="92">
        <f t="shared" si="8"/>
        <v>0</v>
      </c>
      <c r="K56" s="67">
        <f t="shared" si="9"/>
        <v>0</v>
      </c>
      <c r="L56" s="78">
        <f t="shared" si="10"/>
        <v>0</v>
      </c>
      <c r="M56" s="203"/>
    </row>
    <row r="57" spans="2:23" s="60" customFormat="1" ht="12.95" customHeight="1">
      <c r="B57" s="173" t="s">
        <v>84</v>
      </c>
      <c r="C57" s="174"/>
      <c r="D57" s="139"/>
      <c r="E57" s="93">
        <v>0.5</v>
      </c>
      <c r="F57" s="74">
        <f t="shared" si="7"/>
        <v>0</v>
      </c>
      <c r="G57" s="94">
        <v>0</v>
      </c>
      <c r="H57" s="95">
        <v>0.5</v>
      </c>
      <c r="I57" s="96">
        <v>0.5</v>
      </c>
      <c r="J57" s="92">
        <f t="shared" si="8"/>
        <v>0</v>
      </c>
      <c r="K57" s="67">
        <f t="shared" si="9"/>
        <v>0</v>
      </c>
      <c r="L57" s="78">
        <f t="shared" si="10"/>
        <v>0</v>
      </c>
      <c r="M57" s="203"/>
    </row>
    <row r="58" spans="2:23" s="60" customFormat="1" ht="12.95" customHeight="1">
      <c r="B58" s="173" t="s">
        <v>85</v>
      </c>
      <c r="C58" s="174"/>
      <c r="D58" s="139"/>
      <c r="E58" s="93">
        <v>0.5</v>
      </c>
      <c r="F58" s="74">
        <f t="shared" si="7"/>
        <v>0</v>
      </c>
      <c r="G58" s="94">
        <v>0</v>
      </c>
      <c r="H58" s="95">
        <v>0.5</v>
      </c>
      <c r="I58" s="96">
        <v>0.5</v>
      </c>
      <c r="J58" s="92">
        <f t="shared" si="8"/>
        <v>0</v>
      </c>
      <c r="K58" s="67">
        <f t="shared" si="9"/>
        <v>0</v>
      </c>
      <c r="L58" s="78">
        <f t="shared" si="10"/>
        <v>0</v>
      </c>
      <c r="M58" s="203"/>
    </row>
    <row r="59" spans="2:23" s="60" customFormat="1" ht="12.95" customHeight="1">
      <c r="B59" s="173" t="s">
        <v>86</v>
      </c>
      <c r="C59" s="174"/>
      <c r="D59" s="139"/>
      <c r="E59" s="93">
        <v>0.5</v>
      </c>
      <c r="F59" s="74">
        <f t="shared" si="7"/>
        <v>0</v>
      </c>
      <c r="G59" s="94">
        <v>0</v>
      </c>
      <c r="H59" s="95">
        <v>0.5</v>
      </c>
      <c r="I59" s="96">
        <v>0.5</v>
      </c>
      <c r="J59" s="92">
        <f t="shared" si="8"/>
        <v>0</v>
      </c>
      <c r="K59" s="67">
        <f t="shared" si="9"/>
        <v>0</v>
      </c>
      <c r="L59" s="78">
        <f t="shared" si="10"/>
        <v>0</v>
      </c>
      <c r="M59" s="203"/>
    </row>
    <row r="60" spans="2:23" s="60" customFormat="1" ht="12.95" customHeight="1">
      <c r="B60" s="173" t="s">
        <v>176</v>
      </c>
      <c r="C60" s="174"/>
      <c r="D60" s="139"/>
      <c r="E60" s="93">
        <v>3</v>
      </c>
      <c r="F60" s="74">
        <f t="shared" si="7"/>
        <v>0</v>
      </c>
      <c r="G60" s="94">
        <v>1.5</v>
      </c>
      <c r="H60" s="95">
        <v>1.5</v>
      </c>
      <c r="I60" s="96">
        <v>2</v>
      </c>
      <c r="J60" s="92">
        <f t="shared" si="8"/>
        <v>0</v>
      </c>
      <c r="K60" s="67">
        <f t="shared" si="9"/>
        <v>0</v>
      </c>
      <c r="L60" s="78">
        <f t="shared" si="10"/>
        <v>0</v>
      </c>
      <c r="M60" s="203"/>
    </row>
    <row r="61" spans="2:23" s="60" customFormat="1" ht="12.95" customHeight="1">
      <c r="B61" s="173" t="s">
        <v>41</v>
      </c>
      <c r="C61" s="174"/>
      <c r="D61" s="139"/>
      <c r="E61" s="93">
        <v>0.5</v>
      </c>
      <c r="F61" s="74">
        <f t="shared" si="7"/>
        <v>0</v>
      </c>
      <c r="G61" s="94">
        <v>0</v>
      </c>
      <c r="H61" s="95">
        <v>0.5</v>
      </c>
      <c r="I61" s="96">
        <v>0.5</v>
      </c>
      <c r="J61" s="92">
        <f t="shared" si="8"/>
        <v>0</v>
      </c>
      <c r="K61" s="67">
        <f t="shared" si="9"/>
        <v>0</v>
      </c>
      <c r="L61" s="78">
        <f t="shared" si="10"/>
        <v>0</v>
      </c>
      <c r="M61" s="203"/>
    </row>
    <row r="62" spans="2:23" s="60" customFormat="1" ht="12.95" customHeight="1">
      <c r="B62" s="173" t="s">
        <v>82</v>
      </c>
      <c r="C62" s="174"/>
      <c r="D62" s="139"/>
      <c r="E62" s="93">
        <v>0.5</v>
      </c>
      <c r="F62" s="74">
        <f t="shared" si="7"/>
        <v>0</v>
      </c>
      <c r="G62" s="94">
        <v>0.75</v>
      </c>
      <c r="H62" s="95">
        <v>0.75</v>
      </c>
      <c r="I62" s="96">
        <v>1</v>
      </c>
      <c r="J62" s="92">
        <f t="shared" si="8"/>
        <v>0</v>
      </c>
      <c r="K62" s="67">
        <f t="shared" si="9"/>
        <v>0</v>
      </c>
      <c r="L62" s="78">
        <f t="shared" si="10"/>
        <v>0</v>
      </c>
      <c r="M62" s="203"/>
    </row>
    <row r="63" spans="2:23" s="60" customFormat="1" ht="12.95" customHeight="1" thickBot="1">
      <c r="B63" s="179" t="s">
        <v>83</v>
      </c>
      <c r="C63" s="180"/>
      <c r="D63" s="139"/>
      <c r="E63" s="97">
        <v>0.5</v>
      </c>
      <c r="F63" s="80">
        <f>D63*E63</f>
        <v>0</v>
      </c>
      <c r="G63" s="98">
        <v>0</v>
      </c>
      <c r="H63" s="99">
        <v>0.75</v>
      </c>
      <c r="I63" s="100">
        <v>0.75</v>
      </c>
      <c r="J63" s="101">
        <f>D63*G63</f>
        <v>0</v>
      </c>
      <c r="K63" s="71">
        <f>D63*H63</f>
        <v>0</v>
      </c>
      <c r="L63" s="84">
        <f>D63*I63</f>
        <v>0</v>
      </c>
      <c r="M63" s="203"/>
    </row>
    <row r="64" spans="2:23" s="60" customFormat="1" ht="12.95" customHeight="1">
      <c r="B64" s="181"/>
      <c r="C64" s="182"/>
      <c r="D64" s="102"/>
      <c r="E64" s="103"/>
      <c r="F64" s="104"/>
      <c r="G64" s="105"/>
      <c r="H64" s="106"/>
      <c r="I64" s="103"/>
      <c r="J64" s="107"/>
      <c r="K64" s="103"/>
      <c r="L64" s="108"/>
      <c r="M64" s="203"/>
      <c r="Q64" s="87">
        <f>SUM(L42,L41,L40,L32,L33)</f>
        <v>0</v>
      </c>
      <c r="R64" s="87" t="s">
        <v>142</v>
      </c>
      <c r="S64" s="87"/>
      <c r="T64" s="87"/>
      <c r="U64" s="87"/>
      <c r="V64" s="87"/>
      <c r="W64" s="87"/>
    </row>
    <row r="65" spans="2:23" s="60" customFormat="1" ht="12.95" customHeight="1">
      <c r="B65" s="173" t="s">
        <v>46</v>
      </c>
      <c r="C65" s="174"/>
      <c r="D65" s="109">
        <f>SUM(D12:D64)</f>
        <v>0</v>
      </c>
      <c r="E65" s="110"/>
      <c r="F65" s="111">
        <f>SUM(F12:F64)</f>
        <v>0</v>
      </c>
      <c r="G65" s="110"/>
      <c r="H65" s="110"/>
      <c r="I65" s="110"/>
      <c r="J65" s="112">
        <f>SUM(J12:J64)</f>
        <v>0</v>
      </c>
      <c r="K65" s="134">
        <f>SUM(K12:K64)</f>
        <v>0</v>
      </c>
      <c r="L65" s="113">
        <f>SUM(L12:L64)</f>
        <v>0</v>
      </c>
      <c r="M65" s="203"/>
      <c r="N65" s="60" t="str">
        <f>Q66</f>
        <v>FLUSH TANK</v>
      </c>
      <c r="Q65" s="87">
        <f>IF(Q64=0,0,1)</f>
        <v>0</v>
      </c>
      <c r="R65" s="87" t="s">
        <v>143</v>
      </c>
      <c r="S65" s="87"/>
      <c r="T65" s="87"/>
      <c r="U65" s="87"/>
      <c r="V65" s="87"/>
      <c r="W65" s="87"/>
    </row>
    <row r="66" spans="2:23" s="60" customFormat="1" ht="12.95" customHeight="1" thickBot="1">
      <c r="B66" s="68"/>
      <c r="C66" s="69"/>
      <c r="D66" s="114"/>
      <c r="E66" s="115"/>
      <c r="F66" s="116"/>
      <c r="G66" s="117"/>
      <c r="H66" s="118"/>
      <c r="I66" s="115"/>
      <c r="J66" s="68"/>
      <c r="K66" s="115"/>
      <c r="L66" s="119"/>
      <c r="M66" s="204"/>
      <c r="Q66" s="87" t="str">
        <f>IF(Q65=0,"FLUSH TANK","FLUSH VALVE")</f>
        <v>FLUSH TANK</v>
      </c>
      <c r="R66" s="87" t="s">
        <v>172</v>
      </c>
      <c r="S66" s="87"/>
      <c r="T66" s="87"/>
      <c r="U66" s="87"/>
      <c r="V66" s="87"/>
      <c r="W66" s="87"/>
    </row>
    <row r="67" spans="2:23" s="60" customFormat="1" ht="12.95" customHeight="1" thickBot="1">
      <c r="B67" s="103"/>
      <c r="C67" s="103"/>
      <c r="D67" s="103"/>
      <c r="E67" s="103"/>
      <c r="F67" s="106"/>
      <c r="G67" s="106"/>
      <c r="H67" s="130"/>
      <c r="I67" s="103"/>
      <c r="J67" s="103"/>
      <c r="K67" s="103"/>
      <c r="L67" s="130"/>
      <c r="M67" s="131"/>
      <c r="Q67" s="201" t="s">
        <v>160</v>
      </c>
      <c r="R67" s="201"/>
      <c r="S67" s="201"/>
      <c r="T67" s="201"/>
      <c r="U67" s="201" t="s">
        <v>161</v>
      </c>
      <c r="V67" s="201"/>
    </row>
    <row r="68" spans="2:23" s="60" customFormat="1" ht="12.95" customHeight="1" thickBot="1">
      <c r="B68" s="120"/>
      <c r="C68" s="121"/>
      <c r="D68" s="121"/>
      <c r="E68" s="122" t="s">
        <v>70</v>
      </c>
      <c r="F68" s="123">
        <f>Q69</f>
        <v>0</v>
      </c>
      <c r="G68" s="124"/>
      <c r="H68" s="125"/>
      <c r="I68" s="121"/>
      <c r="J68" s="123">
        <f>R69</f>
        <v>0</v>
      </c>
      <c r="K68" s="126">
        <f>IF(Q66="FLUSH VALVE",U69,S69)</f>
        <v>0</v>
      </c>
      <c r="L68" s="127">
        <f>IF(Q66="FLUSH VALVE",V69,T69)</f>
        <v>0</v>
      </c>
      <c r="M68" s="131"/>
      <c r="Q68" s="143" t="s">
        <v>162</v>
      </c>
      <c r="R68" s="143" t="s">
        <v>163</v>
      </c>
      <c r="S68" s="144" t="s">
        <v>164</v>
      </c>
      <c r="T68" s="143" t="s">
        <v>8</v>
      </c>
      <c r="U68" s="143" t="s">
        <v>164</v>
      </c>
      <c r="V68" s="143" t="s">
        <v>8</v>
      </c>
    </row>
    <row r="69" spans="2:23" ht="12.75" customHeight="1">
      <c r="B69" s="3" t="s">
        <v>54</v>
      </c>
      <c r="C69" s="29"/>
      <c r="F69" s="30"/>
      <c r="G69" s="31"/>
      <c r="H69" s="30"/>
      <c r="L69" s="32"/>
      <c r="M69" s="131"/>
      <c r="Q69" s="163">
        <f>IF(F65=0,0,IF(F65&lt;30,($R$99*F65^6)+($R$100*F65^5)+($R$101*F65^4)+($R$102*F65^3)+($R$103*F65^2)+($R$104*F65)+$R$105,IF(F65&lt;250,($R$90*F65^6)+($R$91*F65^5)+($R$92*F65^4)+($R$93*F65^3)+($R$94*F65^2)+($R$95*F65)+$R$96,IF(F65&lt;1000,($R$73*F65^6)+($R$74*F65^5)+($R$75*F65^4)+($R$76*F65^3)+($R$77*F65^2)+($R$78*F65)+$R$79,IF(F65&lt;9000,(0.8759882+1.259865*(F65/1000)-0.02582505*(F65/1000)^2+0.0008687869*(F65/1000)^3-0.0000101455*(F65/1000)^4)*100,(0.095*F65)+205)))))</f>
        <v>0</v>
      </c>
      <c r="R69" s="163">
        <f>IF(J65=0,0,IF(J65&lt;30,($R$99*J65^6)+($R$100*J65^5)+($R$101*J65^4)+($R$102*J65^3)+($R$103*J65^2)+($R$104*J65)+$R$105,IF(J65&lt;250,($R$90*J65^6)+($R$91*J65^5)+($R$92*J65^4)+($R$93*J65^3)+($R$94*J65^2)+($R$95*J65)+$R$96,IF(J65&lt;1000,($R$73*J65^6)+($R$74*J65^5)+($R$75*J65^4)+($R$76*J65^3)+($R$77*J65^2)+($R$78*J65)+$R$79,IF(J65&lt;9000,(0.8759882+1.259865*(J65/1000)-0.02582505*(J65/1000)^2+0.0008687869*(J65/1000)^3-0.0000101455*(J65/1000)^4)*100,(0.095*J65)+205)))))</f>
        <v>0</v>
      </c>
      <c r="S69" s="163">
        <f>IF(K65=0,0,IF(K65&lt;30,($R$99*K65^6)+($R$100*K65^5)+($R$101*K65^4)+($R$102*K65^3)+($R$103*K65^2)+($R$104*K65)+$R$105,IF(K65&lt;250,($R$90*K65^6)+($R$91*K65^5)+($R$92*K65^4)+($R$93*K65^3)+($R$94*K65^2)+($R$95*K65)+$R$96,IF(K65&lt;1000,($R$73*K65^6)+($R$74*K65^5)+($R$75*K65^4)+($R$76*K65^3)+($R$77*K65^2)+($R$78*K65)+$R$79,IF(K65&lt;9000,(0.8759882+1.259865*(K65/1000)-0.02582505*(K65/1000)^2+0.0008687869*(K65/1000)^3-0.0000101455*(K65/1000)^4)*100,(0.095*K65)+205)))))</f>
        <v>0</v>
      </c>
      <c r="T69" s="163">
        <f>IF(L65=0,0,IF(L65&lt;30,($R$99*L65^6)+($R$100*L65^5)+($R$101*L65^4)+($R$102*L65^3)+($R$103*L65^2)+($R$104*L65)+$R$105,IF(L65&lt;250,($R$90*L65^6)+($R$91*L65^5)+($R$92*L65^4)+($R$93*L65^3)+($R$94*L65^2)+($R$95*L65)+$R$96,IF(L65&lt;1000,($R$73*L65^6)+($R$74*L65^5)+($R$75*L65^4)+($R$76*L65^3)+($R$77*L65^2)+($R$78*L65)+$R$79,IF(L65&lt;9000,(0.8759882+1.259865*(L65/1000)-0.02582505*(L65/1000)^2+0.0008687869*(L65/1000)^3-0.0000101455*(L65/1000)^4)*100,(0.095*L65)+205)))))</f>
        <v>0</v>
      </c>
      <c r="U69" s="163">
        <f>IF(K65&lt;5,0,IF(K65&lt;30,($U$90*K65^6)+($U$91*K65^5)+($U$92*K65^4)+($U$93*K65^3)+($U$94*K65^2)+($U$95*K65)+$U$96,IF(K65&lt;250,($U$73*K65^6)+($U$74*K65^5)+($U$75*K65^4)+($U$76*K65^3)+($U$77*K65^2)+($U$78*K65)+$U$79,IF(K65&lt;1000,(2.363443+6.066492*K65/100-2.085061*(K65/100)^2+0.4751229*(K65/100)^3-0.05086087*(K65/100)^4+0.001382764*(K65/100)^5+0.0001469133*(K65/100)^6-0.000008531221*(K65/100)^7)*10,IF(K65&lt;9000,(0.8759882+1.259865*(K65/1000)-0.02582505*(K65/1000)^2+0.0008687869*(K65/1000)^3-0.0000101455*(K65/1000)^4)*100,(0.095*K65)+205)))))</f>
        <v>0</v>
      </c>
      <c r="V69" s="163">
        <f>IF(L65&lt;5,0,IF(L65&lt;30,($U$90*L65^6)+($U$91*L65^5)+($U$92*L65^4)+($U$93*L65^3)+($U$94*L65^2)+($U$95*L65)+$U$96,IF(L65&lt;250,($U$73*L65^6)+($U$74*L65^5)+($U$75*L65^4)+($U$76*L65^3)+($U$77*L65^2)+($U$78*L65)+$U$79,IF(L65&lt;1000,(2.363443+6.066492*L65/100-2.085061*(L65/100)^2+0.4751229*(L65/100)^3-0.05086087*(L65/100)^4+0.001382764*(L65/100)^5+0.0001469133*(L65/100)^6-0.000008531221*(L65/100)^7)*10,IF(L65&lt;9000,(0.8759882+1.259865*(L65/1000)-0.02582505*(L65/1000)^2+0.0008687869*(L65/1000)^3-0.0000101455*(L65/1000)^4)*100,(0.095*L65)+205)))))</f>
        <v>0</v>
      </c>
      <c r="W69" s="60"/>
    </row>
    <row r="70" spans="2:23" ht="12.75" customHeight="1">
      <c r="B70" s="3" t="s">
        <v>55</v>
      </c>
      <c r="C70" s="29"/>
      <c r="F70" s="30"/>
      <c r="G70" s="33"/>
      <c r="H70" s="30"/>
      <c r="L70" s="32"/>
      <c r="M70" s="131"/>
    </row>
    <row r="71" spans="2:23" ht="12.75" customHeight="1">
      <c r="B71" s="3"/>
      <c r="C71" s="29"/>
      <c r="F71" s="30"/>
      <c r="G71" s="31"/>
      <c r="H71" s="30"/>
      <c r="L71" s="32"/>
      <c r="M71" s="131"/>
    </row>
    <row r="72" spans="2:23" ht="12.75" customHeight="1" thickBot="1">
      <c r="B72" s="34" t="s">
        <v>56</v>
      </c>
      <c r="C72" s="35"/>
      <c r="D72" s="35"/>
      <c r="E72" s="35"/>
      <c r="F72" s="31"/>
      <c r="G72" s="31"/>
      <c r="H72" s="36"/>
      <c r="I72" s="35"/>
      <c r="J72" s="35"/>
      <c r="K72" s="35"/>
      <c r="L72" s="36"/>
      <c r="M72" s="131"/>
      <c r="Q72" s="8" t="s">
        <v>157</v>
      </c>
      <c r="R72" s="8"/>
      <c r="S72" s="60"/>
      <c r="T72" s="8" t="s">
        <v>155</v>
      </c>
      <c r="U72" s="8"/>
    </row>
    <row r="73" spans="2:23" ht="12.75" customHeight="1">
      <c r="B73" s="37"/>
      <c r="C73" s="38"/>
      <c r="D73" s="38"/>
      <c r="E73" s="39"/>
      <c r="F73" s="39" t="s">
        <v>18</v>
      </c>
      <c r="G73" s="39"/>
      <c r="H73" s="38"/>
      <c r="I73" s="38"/>
      <c r="J73" s="38"/>
      <c r="K73" s="40"/>
      <c r="L73" s="41"/>
      <c r="M73" s="132"/>
      <c r="Q73" s="8" t="s">
        <v>153</v>
      </c>
      <c r="R73" s="8">
        <f>'HUNTERDATA (FT)'!O10</f>
        <v>2.1691690965767317E-15</v>
      </c>
      <c r="S73" s="60"/>
      <c r="T73" s="8" t="s">
        <v>153</v>
      </c>
      <c r="U73" s="8">
        <f>'HUNTERDATA (FV)'!N6</f>
        <v>-4.5798842691475394E-13</v>
      </c>
    </row>
    <row r="74" spans="2:23" ht="12.75" customHeight="1">
      <c r="B74" s="42" t="s">
        <v>57</v>
      </c>
      <c r="C74" s="43"/>
      <c r="D74" s="44"/>
      <c r="E74" s="44">
        <f>F65</f>
        <v>0</v>
      </c>
      <c r="F74" s="45">
        <f>IF(E74&lt;180,4,IF(E74&lt;390,5,IF(E74&lt;700,6,IF(E74&lt;1600,8,"&gt;8"))))</f>
        <v>4</v>
      </c>
      <c r="G74" s="46" t="s">
        <v>58</v>
      </c>
      <c r="H74" s="47"/>
      <c r="I74" s="47"/>
      <c r="J74" s="47"/>
      <c r="K74" s="48"/>
      <c r="L74" s="36"/>
      <c r="M74" s="133"/>
      <c r="Q74" s="8" t="s">
        <v>152</v>
      </c>
      <c r="R74" s="8">
        <f>'HUNTERDATA (FT)'!O11</f>
        <v>-7.5329142304191608E-12</v>
      </c>
      <c r="S74" s="60"/>
      <c r="T74" s="8" t="s">
        <v>152</v>
      </c>
      <c r="U74" s="8">
        <f>'HUNTERDATA (FV)'!N7</f>
        <v>1.4245229309352945E-10</v>
      </c>
    </row>
    <row r="75" spans="2:23" ht="12.75">
      <c r="B75" s="42"/>
      <c r="C75" s="43"/>
      <c r="D75" s="47"/>
      <c r="E75" s="47"/>
      <c r="F75" s="45"/>
      <c r="G75" s="46"/>
      <c r="H75" s="47"/>
      <c r="I75" s="47"/>
      <c r="J75" s="47"/>
      <c r="K75" s="48"/>
      <c r="L75" s="36"/>
      <c r="M75" s="49"/>
      <c r="Q75" s="8" t="s">
        <v>151</v>
      </c>
      <c r="R75" s="8">
        <f>'HUNTERDATA (FT)'!O12</f>
        <v>1.0415202405268202E-8</v>
      </c>
      <c r="S75" s="60"/>
      <c r="T75" s="8" t="s">
        <v>151</v>
      </c>
      <c r="U75" s="8">
        <f>'HUNTERDATA (FV)'!N8</f>
        <v>3.3285628124487577E-8</v>
      </c>
    </row>
    <row r="76" spans="2:23" ht="12.75">
      <c r="B76" s="42" t="s">
        <v>131</v>
      </c>
      <c r="C76" s="43"/>
      <c r="D76" s="50"/>
      <c r="E76" s="50">
        <f>L65</f>
        <v>0</v>
      </c>
      <c r="F76" s="45">
        <f>IF(E76&lt;1,0,IF(E76&lt;5.1,1,IF(E76&lt;13,1.25,IF(E76&lt;31,1.5,IF(E76&lt;128,2,IF(E76&lt;686,3,IF(E76&lt;1668,4,IF(E76&lt;3150,6,0))))))))</f>
        <v>0</v>
      </c>
      <c r="G76" s="51" t="s">
        <v>59</v>
      </c>
      <c r="H76" s="47"/>
      <c r="I76" s="47"/>
      <c r="J76" s="47"/>
      <c r="K76" s="48"/>
      <c r="L76" s="36"/>
      <c r="M76" s="49"/>
      <c r="Q76" s="8" t="s">
        <v>150</v>
      </c>
      <c r="R76" s="8">
        <f>'HUNTERDATA (FT)'!O13</f>
        <v>-7.3336200710385985E-6</v>
      </c>
      <c r="S76" s="60"/>
      <c r="T76" s="8" t="s">
        <v>150</v>
      </c>
      <c r="U76" s="8">
        <f>'HUNTERDATA (FV)'!N9</f>
        <v>-1.3867609543020676E-5</v>
      </c>
    </row>
    <row r="77" spans="2:23" ht="12.75">
      <c r="B77" s="42" t="s">
        <v>131</v>
      </c>
      <c r="C77" s="43"/>
      <c r="D77" s="50"/>
      <c r="E77" s="50">
        <f>L65</f>
        <v>0</v>
      </c>
      <c r="F77" s="45">
        <f>IF(E77&lt;1,0,IF(E77&lt;15,0.75,IF(E77&lt;28,1,IF(E77&lt;54,1.25,IF(E77&lt;101,1.5,IF(E77&lt;251,2,IF(E77&lt;740,3,IF(E77&lt;1668,4,6))))))))</f>
        <v>0</v>
      </c>
      <c r="G77" s="51" t="s">
        <v>60</v>
      </c>
      <c r="H77" s="47"/>
      <c r="I77" s="47"/>
      <c r="J77" s="47"/>
      <c r="K77" s="47"/>
      <c r="L77" s="36"/>
      <c r="M77" s="49"/>
      <c r="Q77" s="8" t="s">
        <v>149</v>
      </c>
      <c r="R77" s="8">
        <f>'HUNTERDATA (FT)'!O14</f>
        <v>2.7426184646376041E-3</v>
      </c>
      <c r="S77" s="60"/>
      <c r="T77" s="8" t="s">
        <v>149</v>
      </c>
      <c r="U77" s="8">
        <f>'HUNTERDATA (FV)'!N10</f>
        <v>2.3027396321985413E-4</v>
      </c>
    </row>
    <row r="78" spans="2:23" ht="12.75">
      <c r="B78" s="42"/>
      <c r="C78" s="43"/>
      <c r="D78" s="47"/>
      <c r="E78" s="47"/>
      <c r="F78" s="45"/>
      <c r="G78" s="46"/>
      <c r="H78" s="47"/>
      <c r="I78" s="47"/>
      <c r="J78" s="47"/>
      <c r="K78" s="47"/>
      <c r="L78" s="32"/>
      <c r="M78" s="49"/>
      <c r="Q78" s="8" t="s">
        <v>148</v>
      </c>
      <c r="R78" s="8">
        <f>'HUNTERDATA (FT)'!O15</f>
        <v>-0.31523737253127615</v>
      </c>
      <c r="S78" s="60"/>
      <c r="T78" s="8" t="s">
        <v>148</v>
      </c>
      <c r="U78" s="8">
        <f>'HUNTERDATA (FV)'!N11</f>
        <v>0.47344252925816238</v>
      </c>
    </row>
    <row r="79" spans="2:23" ht="12.75">
      <c r="B79" s="42" t="s">
        <v>61</v>
      </c>
      <c r="C79" s="43"/>
      <c r="D79" s="50"/>
      <c r="E79" s="50">
        <f>J65</f>
        <v>0</v>
      </c>
      <c r="F79" s="45">
        <f>IF(E79&lt;1,0,IF(E79&lt;8,0.75,IF(E79&lt;16,1,IF(E79&lt;28,1.25,IF(E79&lt;49,1.5,IF(E79&lt;119,2,IF(E79&lt;245,2.5,IF(E79&lt;440,3,"&gt;3"))))))))</f>
        <v>0</v>
      </c>
      <c r="G79" s="51" t="s">
        <v>62</v>
      </c>
      <c r="H79" s="47"/>
      <c r="I79" s="47"/>
      <c r="J79" s="47"/>
      <c r="K79" s="48"/>
      <c r="L79" s="32"/>
      <c r="M79" s="49"/>
      <c r="Q79" s="8" t="s">
        <v>147</v>
      </c>
      <c r="R79" s="8">
        <f>'HUNTERDATA (FT)'!O16</f>
        <v>63.130980170537043</v>
      </c>
      <c r="S79" s="60"/>
      <c r="T79" s="8" t="s">
        <v>147</v>
      </c>
      <c r="U79" s="8">
        <f>'HUNTERDATA (FV)'!N12</f>
        <v>27.350948845474242</v>
      </c>
    </row>
    <row r="80" spans="2:23" ht="13.5" thickBot="1">
      <c r="B80" s="52"/>
      <c r="C80" s="53"/>
      <c r="D80" s="53"/>
      <c r="E80" s="54"/>
      <c r="F80" s="54"/>
      <c r="G80" s="55"/>
      <c r="H80" s="53"/>
      <c r="I80" s="53"/>
      <c r="J80" s="53"/>
      <c r="K80" s="55"/>
      <c r="L80" s="2"/>
      <c r="M80" s="1"/>
      <c r="Q80" s="8"/>
      <c r="R80" s="8"/>
      <c r="S80" s="60"/>
      <c r="T80" s="8"/>
      <c r="U80" s="8"/>
    </row>
    <row r="81" spans="2:21" s="164" customFormat="1">
      <c r="B81" s="165"/>
      <c r="C81" s="165"/>
      <c r="D81" s="165"/>
      <c r="E81" s="166"/>
      <c r="F81" s="166"/>
      <c r="G81" s="167"/>
      <c r="H81" s="165"/>
      <c r="I81" s="165"/>
      <c r="J81" s="165"/>
      <c r="K81" s="167"/>
      <c r="L81" s="168"/>
      <c r="M81" s="168"/>
    </row>
    <row r="82" spans="2:21" s="164" customFormat="1">
      <c r="B82" s="169" t="s">
        <v>179</v>
      </c>
      <c r="C82" s="165"/>
      <c r="D82" s="165"/>
      <c r="E82" s="166"/>
      <c r="F82" s="166"/>
      <c r="G82" s="167"/>
      <c r="H82" s="165"/>
      <c r="I82" s="165"/>
      <c r="J82" s="165"/>
      <c r="K82" s="167"/>
      <c r="L82" s="168"/>
      <c r="M82" s="168"/>
    </row>
    <row r="83" spans="2:21" s="164" customFormat="1">
      <c r="B83" s="3">
        <v>1</v>
      </c>
      <c r="C83" s="34" t="s">
        <v>180</v>
      </c>
      <c r="D83" s="170"/>
      <c r="E83" s="170"/>
      <c r="F83" s="170"/>
      <c r="G83" s="170"/>
      <c r="H83" s="170"/>
      <c r="I83" s="170"/>
      <c r="J83" s="170"/>
      <c r="K83" s="170"/>
      <c r="L83" s="168"/>
      <c r="M83" s="168"/>
    </row>
    <row r="84" spans="2:21" s="164" customFormat="1">
      <c r="B84" s="3"/>
      <c r="C84" s="34" t="s">
        <v>63</v>
      </c>
      <c r="D84" s="170"/>
      <c r="E84" s="170"/>
      <c r="F84" s="170"/>
      <c r="G84" s="170"/>
      <c r="H84" s="170"/>
      <c r="I84" s="170"/>
      <c r="J84" s="170"/>
      <c r="K84" s="170"/>
      <c r="L84" s="168"/>
      <c r="M84" s="168"/>
    </row>
    <row r="85" spans="2:21" s="164" customFormat="1">
      <c r="B85" s="3"/>
      <c r="C85" s="57" t="s">
        <v>64</v>
      </c>
      <c r="D85" s="170"/>
      <c r="E85" s="170"/>
      <c r="F85" s="170"/>
      <c r="G85" s="170"/>
      <c r="H85" s="170"/>
      <c r="I85" s="170"/>
      <c r="J85" s="170"/>
      <c r="K85" s="170"/>
      <c r="L85" s="168"/>
      <c r="M85" s="168"/>
    </row>
    <row r="86" spans="2:21" s="164" customFormat="1">
      <c r="B86" s="3">
        <v>2</v>
      </c>
      <c r="C86" s="3" t="s">
        <v>182</v>
      </c>
    </row>
    <row r="87" spans="2:21" s="164" customFormat="1">
      <c r="C87" s="3" t="s">
        <v>183</v>
      </c>
    </row>
    <row r="88" spans="2:21" s="164" customFormat="1">
      <c r="C88" s="3" t="s">
        <v>184</v>
      </c>
    </row>
    <row r="89" spans="2:21" ht="12.75">
      <c r="B89" s="56"/>
      <c r="L89" s="32"/>
      <c r="M89" s="32"/>
      <c r="Q89" s="8" t="s">
        <v>158</v>
      </c>
      <c r="R89" s="8"/>
      <c r="S89" s="60"/>
      <c r="T89" s="8" t="s">
        <v>156</v>
      </c>
      <c r="U89" s="8"/>
    </row>
    <row r="90" spans="2:21" ht="12.75">
      <c r="B90" s="34"/>
      <c r="L90" s="32"/>
      <c r="M90" s="32"/>
      <c r="Q90" s="8" t="s">
        <v>153</v>
      </c>
      <c r="R90" s="8">
        <f>'HUNTERDATA (FT)'!O19</f>
        <v>1.2225359842972214E-12</v>
      </c>
      <c r="S90" s="60"/>
      <c r="T90" s="8" t="s">
        <v>153</v>
      </c>
      <c r="U90" s="8">
        <f>'HUNTERDATA (FV)'!N15</f>
        <v>1.5732501132946008E-6</v>
      </c>
    </row>
    <row r="91" spans="2:21" ht="12.75">
      <c r="B91" s="57"/>
      <c r="L91" s="32"/>
      <c r="M91" s="32"/>
      <c r="Q91" s="8" t="s">
        <v>152</v>
      </c>
      <c r="R91" s="8">
        <f>'HUNTERDATA (FT)'!O20</f>
        <v>-1.1178466065685459E-9</v>
      </c>
      <c r="S91" s="60"/>
      <c r="T91" s="8" t="s">
        <v>152</v>
      </c>
      <c r="U91" s="8">
        <f>'HUNTERDATA (FV)'!N16</f>
        <v>-1.6117135290915496E-4</v>
      </c>
    </row>
    <row r="92" spans="2:21" ht="12.75">
      <c r="Q92" s="8" t="s">
        <v>151</v>
      </c>
      <c r="R92" s="8">
        <f>'HUNTERDATA (FT)'!O21</f>
        <v>4.0532030633159141E-7</v>
      </c>
      <c r="S92" s="60"/>
      <c r="T92" s="8" t="s">
        <v>151</v>
      </c>
      <c r="U92" s="8">
        <f>'HUNTERDATA (FV)'!N17</f>
        <v>6.3826566951568232E-3</v>
      </c>
    </row>
    <row r="93" spans="2:21" ht="12.75">
      <c r="Q93" s="8" t="s">
        <v>150</v>
      </c>
      <c r="R93" s="8">
        <f>'HUNTERDATA (FT)'!O22</f>
        <v>-7.2350233026478671E-5</v>
      </c>
      <c r="S93" s="60"/>
      <c r="T93" s="8" t="s">
        <v>150</v>
      </c>
      <c r="U93" s="8">
        <f>'HUNTERDATA (FV)'!N18</f>
        <v>-0.1197860727669694</v>
      </c>
    </row>
    <row r="94" spans="2:21" ht="12.75">
      <c r="Q94" s="8" t="s">
        <v>149</v>
      </c>
      <c r="R94" s="8">
        <f>'HUNTERDATA (FT)'!O23</f>
        <v>6.1021361653340479E-3</v>
      </c>
      <c r="S94" s="60"/>
      <c r="T94" s="8" t="s">
        <v>149</v>
      </c>
      <c r="U94" s="8">
        <f>'HUNTERDATA (FV)'!N19</f>
        <v>0.99525162706421222</v>
      </c>
    </row>
    <row r="95" spans="2:21" ht="12.75">
      <c r="Q95" s="8" t="s">
        <v>148</v>
      </c>
      <c r="R95" s="8">
        <f>'HUNTERDATA (FT)'!O24</f>
        <v>6.6539477926714441E-2</v>
      </c>
      <c r="S95" s="60"/>
      <c r="T95" s="8" t="s">
        <v>148</v>
      </c>
      <c r="U95" s="8">
        <f>'HUNTERDATA (FV)'!N20</f>
        <v>-0.84189261345335342</v>
      </c>
    </row>
    <row r="96" spans="2:21" ht="12.75">
      <c r="Q96" s="8" t="s">
        <v>147</v>
      </c>
      <c r="R96" s="8">
        <f>'HUNTERDATA (FT)'!O25</f>
        <v>17.40552640913198</v>
      </c>
      <c r="S96" s="60"/>
      <c r="T96" s="8" t="s">
        <v>147</v>
      </c>
      <c r="U96" s="8">
        <f>'HUNTERDATA (FV)'!N21</f>
        <v>5.5617793667260855</v>
      </c>
    </row>
    <row r="97" spans="17:21" ht="12.75">
      <c r="Q97" s="8"/>
      <c r="R97" s="8"/>
      <c r="S97" s="60"/>
      <c r="T97" s="60"/>
      <c r="U97" s="60"/>
    </row>
    <row r="98" spans="17:21" ht="12.75">
      <c r="Q98" s="8" t="s">
        <v>159</v>
      </c>
      <c r="R98" s="8"/>
      <c r="S98" s="60"/>
      <c r="T98" s="60"/>
      <c r="U98" s="60"/>
    </row>
    <row r="99" spans="17:21" ht="12.75">
      <c r="Q99" s="8" t="s">
        <v>153</v>
      </c>
      <c r="R99" s="8">
        <f>'HUNTERDATA (FT)'!O28</f>
        <v>5.4198645634637785E-8</v>
      </c>
      <c r="S99" s="60"/>
      <c r="T99" s="60"/>
      <c r="U99" s="60"/>
    </row>
    <row r="100" spans="17:21" ht="12.75">
      <c r="Q100" s="8" t="s">
        <v>152</v>
      </c>
      <c r="R100" s="8">
        <f>'HUNTERDATA (FT)'!O29</f>
        <v>-6.20944509783197E-6</v>
      </c>
      <c r="S100" s="60"/>
      <c r="T100" s="60"/>
      <c r="U100" s="60"/>
    </row>
    <row r="101" spans="17:21" ht="12.75">
      <c r="Q101" s="8" t="s">
        <v>151</v>
      </c>
      <c r="R101" s="8">
        <f>'HUNTERDATA (FT)'!O30</f>
        <v>2.4296859033228841E-4</v>
      </c>
      <c r="S101" s="60"/>
      <c r="T101" s="60"/>
      <c r="U101" s="60"/>
    </row>
    <row r="102" spans="17:21" ht="12.75">
      <c r="Q102" s="8" t="s">
        <v>150</v>
      </c>
      <c r="R102" s="8">
        <f>'HUNTERDATA (FT)'!O31</f>
        <v>-2.7613035535943909E-3</v>
      </c>
      <c r="S102" s="60"/>
      <c r="T102" s="60"/>
      <c r="U102" s="60"/>
    </row>
    <row r="103" spans="17:21" ht="12.75">
      <c r="Q103" s="8" t="s">
        <v>149</v>
      </c>
      <c r="R103" s="8">
        <f>'HUNTERDATA (FT)'!O32</f>
        <v>-5.2702904715672225E-2</v>
      </c>
      <c r="S103" s="87"/>
      <c r="T103" s="87"/>
      <c r="U103" s="87"/>
    </row>
    <row r="104" spans="17:21" ht="12.75">
      <c r="Q104" s="8" t="s">
        <v>148</v>
      </c>
      <c r="R104" s="8">
        <f>'HUNTERDATA (FT)'!O33</f>
        <v>1.9557609838000838</v>
      </c>
      <c r="S104" s="87"/>
      <c r="T104" s="87"/>
      <c r="U104" s="87"/>
    </row>
    <row r="105" spans="17:21" ht="12.75">
      <c r="Q105" s="8" t="s">
        <v>147</v>
      </c>
      <c r="R105" s="8">
        <f>'HUNTERDATA (FT)'!O34</f>
        <v>1.1755231358680769</v>
      </c>
      <c r="S105" s="87"/>
      <c r="T105" s="87"/>
      <c r="U105" s="87"/>
    </row>
  </sheetData>
  <mergeCells count="67">
    <mergeCell ref="Q67:T67"/>
    <mergeCell ref="U67:V67"/>
    <mergeCell ref="M8:M66"/>
    <mergeCell ref="B17:C17"/>
    <mergeCell ref="B18:C18"/>
    <mergeCell ref="B19:C19"/>
    <mergeCell ref="B20:C20"/>
    <mergeCell ref="F9:F11"/>
    <mergeCell ref="B12:C12"/>
    <mergeCell ref="B13:C13"/>
    <mergeCell ref="B14:C14"/>
    <mergeCell ref="B15:C15"/>
    <mergeCell ref="B16:C16"/>
    <mergeCell ref="B29:C29"/>
    <mergeCell ref="B31:C31"/>
    <mergeCell ref="B30:C30"/>
    <mergeCell ref="B21:C21"/>
    <mergeCell ref="B25:C25"/>
    <mergeCell ref="B26:C26"/>
    <mergeCell ref="B27:C27"/>
    <mergeCell ref="B24:C24"/>
    <mergeCell ref="B28:C28"/>
    <mergeCell ref="B22:C22"/>
    <mergeCell ref="B23:C23"/>
    <mergeCell ref="B41:C41"/>
    <mergeCell ref="B32:C32"/>
    <mergeCell ref="B35:C35"/>
    <mergeCell ref="B36:C36"/>
    <mergeCell ref="B37:C37"/>
    <mergeCell ref="B40:C40"/>
    <mergeCell ref="B39:C39"/>
    <mergeCell ref="B33:C33"/>
    <mergeCell ref="B38:C38"/>
    <mergeCell ref="B34:C34"/>
    <mergeCell ref="B50:C50"/>
    <mergeCell ref="B51:C51"/>
    <mergeCell ref="B42:C42"/>
    <mergeCell ref="B43:C43"/>
    <mergeCell ref="B46:C46"/>
    <mergeCell ref="B47:C47"/>
    <mergeCell ref="B44:C44"/>
    <mergeCell ref="B49:C49"/>
    <mergeCell ref="B48:C48"/>
    <mergeCell ref="B45:C45"/>
    <mergeCell ref="B8:L8"/>
    <mergeCell ref="C6:I6"/>
    <mergeCell ref="C7:I7"/>
    <mergeCell ref="C2:I2"/>
    <mergeCell ref="C3:I3"/>
    <mergeCell ref="C4:I4"/>
    <mergeCell ref="C5:I5"/>
    <mergeCell ref="B65:C65"/>
    <mergeCell ref="B10:C10"/>
    <mergeCell ref="E9:E11"/>
    <mergeCell ref="B54:C54"/>
    <mergeCell ref="B55:C55"/>
    <mergeCell ref="B61:C61"/>
    <mergeCell ref="B62:C62"/>
    <mergeCell ref="B63:C63"/>
    <mergeCell ref="B58:C58"/>
    <mergeCell ref="B59:C59"/>
    <mergeCell ref="B60:C60"/>
    <mergeCell ref="B64:C64"/>
    <mergeCell ref="B53:C53"/>
    <mergeCell ref="B56:C56"/>
    <mergeCell ref="B52:C52"/>
    <mergeCell ref="B57:C57"/>
  </mergeCells>
  <phoneticPr fontId="5" type="noConversion"/>
  <printOptions gridLinesSet="0"/>
  <pageMargins left="0.75" right="0.25" top="0.25" bottom="0.27" header="0.25" footer="0.23"/>
  <pageSetup scale="95" orientation="portrait" horizontalDpi="4294967292" vertic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MOVE_FORMATTING">
                <anchor moveWithCells="1" sizeWithCells="1">
                  <from>
                    <xdr:col>1</xdr:col>
                    <xdr:colOff>0</xdr:colOff>
                    <xdr:row>0</xdr:row>
                    <xdr:rowOff>28575</xdr:rowOff>
                  </from>
                  <to>
                    <xdr:col>2</xdr:col>
                    <xdr:colOff>495300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AD_COPY">
                <anchor moveWithCells="1" sizeWithCells="1">
                  <from>
                    <xdr:col>2</xdr:col>
                    <xdr:colOff>1752600</xdr:colOff>
                    <xdr:row>0</xdr:row>
                    <xdr:rowOff>28575</xdr:rowOff>
                  </from>
                  <to>
                    <xdr:col>4</xdr:col>
                    <xdr:colOff>447675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REVIT_READY">
                <anchor moveWithCells="1" sizeWithCells="1">
                  <from>
                    <xdr:col>5</xdr:col>
                    <xdr:colOff>76200</xdr:colOff>
                    <xdr:row>0</xdr:row>
                    <xdr:rowOff>28575</xdr:rowOff>
                  </from>
                  <to>
                    <xdr:col>7</xdr:col>
                    <xdr:colOff>247650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SHOW_ALL">
                <anchor moveWithCells="1" sizeWithCells="1">
                  <from>
                    <xdr:col>7</xdr:col>
                    <xdr:colOff>323850</xdr:colOff>
                    <xdr:row>0</xdr:row>
                    <xdr:rowOff>28575</xdr:rowOff>
                  </from>
                  <to>
                    <xdr:col>9</xdr:col>
                    <xdr:colOff>209550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ADD_FORMATTING">
                <anchor moveWithCells="1" sizeWithCells="1">
                  <from>
                    <xdr:col>2</xdr:col>
                    <xdr:colOff>590550</xdr:colOff>
                    <xdr:row>0</xdr:row>
                    <xdr:rowOff>28575</xdr:rowOff>
                  </from>
                  <to>
                    <xdr:col>2</xdr:col>
                    <xdr:colOff>1676400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7B30B-8E48-43B7-ABE5-72654FDEA305}">
  <sheetPr codeName="Sheet5">
    <tabColor theme="1"/>
  </sheetPr>
  <dimension ref="B1:O441"/>
  <sheetViews>
    <sheetView workbookViewId="0">
      <pane ySplit="3" topLeftCell="A4" activePane="bottomLeft" state="frozen"/>
      <selection pane="bottomLeft" activeCell="D4" sqref="D4"/>
    </sheetView>
  </sheetViews>
  <sheetFormatPr defaultColWidth="9.140625" defaultRowHeight="12.75"/>
  <cols>
    <col min="1" max="3" width="9.140625" style="8"/>
    <col min="4" max="4" width="11.85546875" style="140" bestFit="1" customWidth="1"/>
    <col min="5" max="5" width="11" style="140" bestFit="1" customWidth="1"/>
    <col min="6" max="6" width="9.140625" style="140"/>
    <col min="7" max="14" width="9.140625" style="8"/>
    <col min="15" max="15" width="15.140625" style="8" customWidth="1"/>
    <col min="16" max="16384" width="9.140625" style="8"/>
  </cols>
  <sheetData>
    <row r="1" spans="2:15" ht="13.5" thickBot="1"/>
    <row r="2" spans="2:15">
      <c r="B2" s="159"/>
      <c r="C2" s="160" t="s">
        <v>154</v>
      </c>
      <c r="D2" s="207" t="s">
        <v>165</v>
      </c>
      <c r="E2" s="207"/>
      <c r="F2" s="208"/>
    </row>
    <row r="3" spans="2:15" ht="13.5" thickBot="1">
      <c r="B3" s="161" t="s">
        <v>65</v>
      </c>
      <c r="C3" s="162" t="s">
        <v>66</v>
      </c>
      <c r="D3" s="152" t="s">
        <v>144</v>
      </c>
      <c r="E3" s="152" t="s">
        <v>145</v>
      </c>
      <c r="F3" s="158" t="s">
        <v>146</v>
      </c>
    </row>
    <row r="4" spans="2:15">
      <c r="B4" s="155">
        <v>1</v>
      </c>
      <c r="C4" s="9">
        <v>3</v>
      </c>
      <c r="D4" s="156">
        <f t="shared" ref="D4:D67" si="0">IF(B4=0,0,IF(B4&lt;30,($O$28*B4^6)+($O$29*B4^5)+($O$30*B4^4)+($O$31*B4^3)+($O$32*B4^2)+($O$33*B4)+$O$34,IF(B4&lt;250,($O$19*B4^6)+($O$20*B4^5)+($O$21*B4^4)+($O$22*B4^3)+($O$23*B4^2)+($O$24*B4)+$O$25,IF(B4&lt;1000,($O$10*B4^6)+($O$11*B4^5)+($O$12*B4^4)+($O$13*B4^3)+($O$14*B4^2)+($O$15*B4)+$O$16,IF(B4&lt;9000,(0.8759882+1.259865*(B4/1000)-0.02582505*(B4/1000)^2+0.0008687869*(B4/1000)^3-0.0000101455*(B4/1000)^4)*100,(0.095*B4)+205)))))</f>
        <v>3.0760567247427741</v>
      </c>
      <c r="E4" s="156">
        <f t="shared" ref="E4:E67" si="1">C4-D4</f>
        <v>-7.605672474277414E-2</v>
      </c>
      <c r="F4" s="157">
        <f t="shared" ref="F4:F67" si="2">C4/D4-1</f>
        <v>-2.4725397334515731E-2</v>
      </c>
    </row>
    <row r="5" spans="2:15">
      <c r="B5" s="145">
        <v>2</v>
      </c>
      <c r="C5" s="10">
        <v>5</v>
      </c>
      <c r="D5" s="146">
        <f t="shared" si="0"/>
        <v>4.857835320092307</v>
      </c>
      <c r="E5" s="146">
        <f t="shared" si="1"/>
        <v>0.14216467990769299</v>
      </c>
      <c r="F5" s="147">
        <f t="shared" si="2"/>
        <v>2.9265026609628153E-2</v>
      </c>
      <c r="I5" s="8" t="s">
        <v>68</v>
      </c>
    </row>
    <row r="6" spans="2:15">
      <c r="B6" s="145">
        <v>3</v>
      </c>
      <c r="C6" s="10">
        <v>6.5</v>
      </c>
      <c r="D6" s="146">
        <f t="shared" si="0"/>
        <v>6.5121358203510393</v>
      </c>
      <c r="E6" s="146">
        <f t="shared" si="1"/>
        <v>-1.2135820351039328E-2</v>
      </c>
      <c r="F6" s="147">
        <f t="shared" si="2"/>
        <v>-1.8635699079115886E-3</v>
      </c>
      <c r="I6" s="8" t="s">
        <v>69</v>
      </c>
    </row>
    <row r="7" spans="2:15">
      <c r="B7" s="145">
        <v>4</v>
      </c>
      <c r="C7" s="10">
        <v>8</v>
      </c>
      <c r="D7" s="146">
        <f t="shared" si="0"/>
        <v>8.0346606531850213</v>
      </c>
      <c r="E7" s="146">
        <f t="shared" si="1"/>
        <v>-3.4660653185021317E-2</v>
      </c>
      <c r="F7" s="147">
        <f t="shared" si="2"/>
        <v>-4.3138913615824448E-3</v>
      </c>
    </row>
    <row r="8" spans="2:15">
      <c r="B8" s="145">
        <v>5</v>
      </c>
      <c r="C8" s="10">
        <v>9.4</v>
      </c>
      <c r="D8" s="146">
        <f t="shared" si="0"/>
        <v>9.4248901996423875</v>
      </c>
      <c r="E8" s="146">
        <f t="shared" si="1"/>
        <v>-2.4890199642387145E-2</v>
      </c>
      <c r="F8" s="147">
        <f t="shared" si="2"/>
        <v>-2.6409007548259256E-3</v>
      </c>
    </row>
    <row r="9" spans="2:15">
      <c r="B9" s="145">
        <v>6</v>
      </c>
      <c r="C9" s="10">
        <v>10.7</v>
      </c>
      <c r="D9" s="146">
        <f t="shared" si="0"/>
        <v>10.685474241328624</v>
      </c>
      <c r="E9" s="146">
        <f t="shared" si="1"/>
        <v>1.4525758671375399E-2</v>
      </c>
      <c r="F9" s="147">
        <f t="shared" si="2"/>
        <v>1.3593929799760041E-3</v>
      </c>
      <c r="N9" s="8" t="s">
        <v>157</v>
      </c>
    </row>
    <row r="10" spans="2:15">
      <c r="B10" s="145">
        <v>7</v>
      </c>
      <c r="C10" s="10">
        <v>11.8</v>
      </c>
      <c r="D10" s="146">
        <f t="shared" si="0"/>
        <v>11.821662430606683</v>
      </c>
      <c r="E10" s="146">
        <f t="shared" si="1"/>
        <v>-2.1662430606681937E-2</v>
      </c>
      <c r="F10" s="147">
        <f t="shared" si="2"/>
        <v>-1.8324352208364258E-3</v>
      </c>
      <c r="N10" s="8" t="s">
        <v>153</v>
      </c>
      <c r="O10" s="8">
        <f>INDEX(LINEST(C253:C373,B253:B373^{1,2,3,4,5,6}),1)</f>
        <v>2.1691690965767317E-15</v>
      </c>
    </row>
    <row r="11" spans="2:15">
      <c r="B11" s="145">
        <v>8</v>
      </c>
      <c r="C11" s="10">
        <v>12.8</v>
      </c>
      <c r="D11" s="146">
        <f t="shared" si="0"/>
        <v>12.840773783821938</v>
      </c>
      <c r="E11" s="146">
        <f t="shared" si="1"/>
        <v>-4.077378382193686E-2</v>
      </c>
      <c r="F11" s="147">
        <f t="shared" si="2"/>
        <v>-3.1753369780026519E-3</v>
      </c>
      <c r="N11" s="8" t="s">
        <v>152</v>
      </c>
      <c r="O11" s="8">
        <f>INDEX(LINEST(C253:C373,B253:B373^{1,2,3,4,5,6}),1,2)</f>
        <v>-7.5329142304191608E-12</v>
      </c>
    </row>
    <row r="12" spans="2:15">
      <c r="B12" s="145">
        <v>9</v>
      </c>
      <c r="C12" s="10">
        <v>13.7</v>
      </c>
      <c r="D12" s="146">
        <f t="shared" si="0"/>
        <v>13.751705197552049</v>
      </c>
      <c r="E12" s="146">
        <f t="shared" si="1"/>
        <v>-5.1705197552049498E-2</v>
      </c>
      <c r="F12" s="147">
        <f t="shared" si="2"/>
        <v>-3.7599117207117727E-3</v>
      </c>
      <c r="N12" s="8" t="s">
        <v>151</v>
      </c>
      <c r="O12" s="8">
        <f>INDEX(LINEST(C253:C373,B253:B373^{1,2,3,4,5,6}),1,3)</f>
        <v>1.0415202405268202E-8</v>
      </c>
    </row>
    <row r="13" spans="2:15">
      <c r="B13" s="145">
        <v>10</v>
      </c>
      <c r="C13" s="10">
        <v>14.6</v>
      </c>
      <c r="D13" s="146">
        <f t="shared" si="0"/>
        <v>14.564478987881625</v>
      </c>
      <c r="E13" s="146">
        <f t="shared" si="1"/>
        <v>3.5521012118374884E-2</v>
      </c>
      <c r="F13" s="147">
        <f t="shared" si="2"/>
        <v>2.4388796981980043E-3</v>
      </c>
      <c r="N13" s="8" t="s">
        <v>150</v>
      </c>
      <c r="O13" s="8">
        <f>INDEX(LINEST(C253:C373,B253:B373^{1,2,3,4,5,6}),1,4)</f>
        <v>-7.3336200710385985E-6</v>
      </c>
    </row>
    <row r="14" spans="2:15">
      <c r="B14" s="145">
        <v>11</v>
      </c>
      <c r="C14" s="10">
        <v>15.4</v>
      </c>
      <c r="D14" s="146">
        <f t="shared" si="0"/>
        <v>15.289829452701767</v>
      </c>
      <c r="E14" s="146">
        <f t="shared" si="1"/>
        <v>0.1101705472982335</v>
      </c>
      <c r="F14" s="147">
        <f t="shared" si="2"/>
        <v>7.2054791480204994E-3</v>
      </c>
      <c r="N14" s="8" t="s">
        <v>149</v>
      </c>
      <c r="O14" s="8">
        <f>INDEX(LINEST(C253:C373,B253:B373^{1,2,3,4,5,6}),1,5)</f>
        <v>2.7426184646376041E-3</v>
      </c>
    </row>
    <row r="15" spans="2:15">
      <c r="B15" s="145">
        <v>12</v>
      </c>
      <c r="C15" s="10">
        <v>16</v>
      </c>
      <c r="D15" s="146">
        <f t="shared" si="0"/>
        <v>15.938828457034479</v>
      </c>
      <c r="E15" s="146">
        <f t="shared" si="1"/>
        <v>6.1171542965521297E-2</v>
      </c>
      <c r="F15" s="147">
        <f t="shared" si="2"/>
        <v>3.8378945560784139E-3</v>
      </c>
      <c r="N15" s="8" t="s">
        <v>148</v>
      </c>
      <c r="O15" s="8">
        <f>INDEX(LINEST(C253:C373,B253:B373^{1,2,3,4,5,6}),1,6)</f>
        <v>-0.31523737253127615</v>
      </c>
    </row>
    <row r="16" spans="2:15">
      <c r="B16" s="145">
        <v>13</v>
      </c>
      <c r="C16" s="10">
        <v>16.5</v>
      </c>
      <c r="D16" s="146">
        <f t="shared" si="0"/>
        <v>16.522550041381926</v>
      </c>
      <c r="E16" s="146">
        <f t="shared" si="1"/>
        <v>-2.2550041381926178E-2</v>
      </c>
      <c r="F16" s="147">
        <f t="shared" si="2"/>
        <v>-1.3648039391890299E-3</v>
      </c>
      <c r="N16" s="8" t="s">
        <v>147</v>
      </c>
      <c r="O16" s="8">
        <f>INDEX(LINEST(C253:C373,B253:B373^{1,2,3,4,5,6}),1,7)</f>
        <v>63.130980170537043</v>
      </c>
    </row>
    <row r="17" spans="2:15">
      <c r="B17" s="145">
        <v>14</v>
      </c>
      <c r="C17" s="10">
        <v>17</v>
      </c>
      <c r="D17" s="146">
        <f t="shared" si="0"/>
        <v>17.051774053100544</v>
      </c>
      <c r="E17" s="146">
        <f t="shared" si="1"/>
        <v>-5.1774053100544393E-2</v>
      </c>
      <c r="F17" s="147">
        <f t="shared" si="2"/>
        <v>-3.0362854292648178E-3</v>
      </c>
    </row>
    <row r="18" spans="2:15">
      <c r="B18" s="145">
        <v>15</v>
      </c>
      <c r="C18" s="10">
        <v>17.5</v>
      </c>
      <c r="D18" s="146">
        <f t="shared" si="0"/>
        <v>17.536728800800006</v>
      </c>
      <c r="E18" s="146">
        <f t="shared" si="1"/>
        <v>-3.6728800800005956E-2</v>
      </c>
      <c r="F18" s="147">
        <f t="shared" si="2"/>
        <v>-2.0943929291037389E-3</v>
      </c>
      <c r="N18" s="8" t="s">
        <v>158</v>
      </c>
    </row>
    <row r="19" spans="2:15">
      <c r="B19" s="145">
        <v>16</v>
      </c>
      <c r="C19" s="10">
        <v>18</v>
      </c>
      <c r="D19" s="146">
        <f t="shared" si="0"/>
        <v>17.986872731767072</v>
      </c>
      <c r="E19" s="146">
        <f t="shared" si="1"/>
        <v>1.3127268232928202E-2</v>
      </c>
      <c r="F19" s="147">
        <f t="shared" si="2"/>
        <v>7.2982493559003991E-4</v>
      </c>
      <c r="N19" s="8" t="s">
        <v>153</v>
      </c>
      <c r="O19" s="8">
        <f>INDEX(LINEST(C28:C253,B28:B253^{1,2,3,4,5,6}),1)</f>
        <v>1.2225359842972214E-12</v>
      </c>
    </row>
    <row r="20" spans="2:15">
      <c r="B20" s="145">
        <v>17</v>
      </c>
      <c r="C20" s="10">
        <v>18.399999999999999</v>
      </c>
      <c r="D20" s="146">
        <f t="shared" si="0"/>
        <v>18.410715132414254</v>
      </c>
      <c r="E20" s="146">
        <f t="shared" si="1"/>
        <v>-1.0715132414254924E-2</v>
      </c>
      <c r="F20" s="147">
        <f t="shared" si="2"/>
        <v>-5.820052256084729E-4</v>
      </c>
      <c r="N20" s="8" t="s">
        <v>152</v>
      </c>
      <c r="O20" s="8">
        <f>INDEX(LINEST(C28:C253,B28:B253^{1,2,3,4,5,6}),1,2)</f>
        <v>-1.1178466065685459E-9</v>
      </c>
    </row>
    <row r="21" spans="2:15">
      <c r="B21" s="145">
        <v>18</v>
      </c>
      <c r="C21" s="10">
        <v>18.8</v>
      </c>
      <c r="D21" s="146">
        <f t="shared" si="0"/>
        <v>18.815675851753362</v>
      </c>
      <c r="E21" s="146">
        <f t="shared" si="1"/>
        <v>-1.5675851753361059E-2</v>
      </c>
      <c r="F21" s="147">
        <f t="shared" si="2"/>
        <v>-8.3312722204986756E-4</v>
      </c>
      <c r="N21" s="8" t="s">
        <v>151</v>
      </c>
      <c r="O21" s="8">
        <f>INDEX(LINEST(C28:C253,B28:B253^{1,2,3,4,5,6}),1,3)</f>
        <v>4.0532030633159141E-7</v>
      </c>
    </row>
    <row r="22" spans="2:15">
      <c r="B22" s="145">
        <v>19</v>
      </c>
      <c r="C22" s="10">
        <v>19.2</v>
      </c>
      <c r="D22" s="146">
        <f t="shared" si="0"/>
        <v>19.207984047893916</v>
      </c>
      <c r="E22" s="146">
        <f t="shared" si="1"/>
        <v>-7.9840478939168236E-3</v>
      </c>
      <c r="F22" s="147">
        <f t="shared" si="2"/>
        <v>-4.1566298024864334E-4</v>
      </c>
      <c r="N22" s="8" t="s">
        <v>150</v>
      </c>
      <c r="O22" s="8">
        <f>INDEX(LINEST(C28:C253,B28:B253^{1,2,3,4,5,6}),1,4)</f>
        <v>-7.2350233026478671E-5</v>
      </c>
    </row>
    <row r="23" spans="2:15">
      <c r="B23" s="145">
        <v>20</v>
      </c>
      <c r="C23" s="10">
        <v>19.600000000000001</v>
      </c>
      <c r="D23" s="146">
        <f t="shared" si="0"/>
        <v>19.592615957566387</v>
      </c>
      <c r="E23" s="146">
        <f t="shared" si="1"/>
        <v>7.3840424336140131E-3</v>
      </c>
      <c r="F23" s="147">
        <f t="shared" si="2"/>
        <v>3.7687884300940944E-4</v>
      </c>
      <c r="N23" s="8" t="s">
        <v>149</v>
      </c>
      <c r="O23" s="8">
        <f>INDEX(LINEST(C28:C253,B28:B253^{1,2,3,4,5,6}),1,5)</f>
        <v>6.1021361653340479E-3</v>
      </c>
    </row>
    <row r="24" spans="2:15">
      <c r="B24" s="148">
        <v>21</v>
      </c>
      <c r="C24" s="11">
        <f>C$28-(B$28-B24)*((C$28-C$23)/(B$28-B$23))</f>
        <v>19.98</v>
      </c>
      <c r="D24" s="146">
        <f t="shared" si="0"/>
        <v>19.97327168867033</v>
      </c>
      <c r="E24" s="146">
        <f t="shared" si="1"/>
        <v>6.7283113296703334E-3</v>
      </c>
      <c r="F24" s="147">
        <f t="shared" si="2"/>
        <v>3.3686575912783567E-4</v>
      </c>
      <c r="N24" s="8" t="s">
        <v>148</v>
      </c>
      <c r="O24" s="8">
        <f>INDEX(LINEST(C28:C253,B28:B253^{1,2,3,4,5,6}),1,6)</f>
        <v>6.6539477926714441E-2</v>
      </c>
    </row>
    <row r="25" spans="2:15">
      <c r="B25" s="148">
        <v>22</v>
      </c>
      <c r="C25" s="11">
        <f>((C28-C23)*((B25-B23)/(B28-B23)))+C23</f>
        <v>20.36</v>
      </c>
      <c r="D25" s="146">
        <f t="shared" si="0"/>
        <v>20.352391035847322</v>
      </c>
      <c r="E25" s="146">
        <f t="shared" si="1"/>
        <v>7.608964152677089E-3</v>
      </c>
      <c r="F25" s="147">
        <f t="shared" si="2"/>
        <v>3.7386094534430647E-4</v>
      </c>
      <c r="N25" s="8" t="s">
        <v>147</v>
      </c>
      <c r="O25" s="8">
        <f>INDEX(LINEST(C28:C253,B28:B253^{1,2,3,4,5,6}),1,7)</f>
        <v>17.40552640913198</v>
      </c>
    </row>
    <row r="26" spans="2:15">
      <c r="B26" s="148">
        <v>23</v>
      </c>
      <c r="C26" s="11">
        <f>((C28-C23)*((B26-B23)/(B28-B23)))+C23</f>
        <v>20.740000000000002</v>
      </c>
      <c r="D26" s="146">
        <f t="shared" si="0"/>
        <v>20.731208319078824</v>
      </c>
      <c r="E26" s="146">
        <f t="shared" si="1"/>
        <v>8.7916809211776581E-3</v>
      </c>
      <c r="F26" s="147">
        <f t="shared" si="2"/>
        <v>4.2407952232514923E-4</v>
      </c>
    </row>
    <row r="27" spans="2:15">
      <c r="B27" s="148">
        <v>24</v>
      </c>
      <c r="C27" s="11">
        <f>((C28-C23)*((B27-B23)/(B28-B23)))+C23</f>
        <v>21.12</v>
      </c>
      <c r="D27" s="146">
        <f t="shared" si="0"/>
        <v>21.109846245308841</v>
      </c>
      <c r="E27" s="146">
        <f t="shared" si="1"/>
        <v>1.0153754691160088E-2</v>
      </c>
      <c r="F27" s="147">
        <f t="shared" si="2"/>
        <v>4.8099614621377462E-4</v>
      </c>
      <c r="N27" s="8" t="s">
        <v>159</v>
      </c>
    </row>
    <row r="28" spans="2:15">
      <c r="B28" s="145">
        <v>25</v>
      </c>
      <c r="C28" s="10">
        <v>21.5</v>
      </c>
      <c r="D28" s="146">
        <f t="shared" si="0"/>
        <v>21.487448793091488</v>
      </c>
      <c r="E28" s="146">
        <f t="shared" si="1"/>
        <v>1.2551206908511858E-2</v>
      </c>
      <c r="F28" s="147">
        <f t="shared" si="2"/>
        <v>5.8411806023928037E-4</v>
      </c>
      <c r="N28" s="8" t="s">
        <v>153</v>
      </c>
      <c r="O28" s="8">
        <f>INDEX(LINEST(C4:C33,B4:B33^{1,2,3,4,5,6}),1)</f>
        <v>5.4198645634637785E-8</v>
      </c>
    </row>
    <row r="29" spans="2:15">
      <c r="B29" s="148">
        <v>26</v>
      </c>
      <c r="C29" s="11">
        <f>C$33-(B$33-B29)*((C$33-C$28)/(B$33-B$28))</f>
        <v>21.86</v>
      </c>
      <c r="D29" s="146">
        <f t="shared" si="0"/>
        <v>21.862353120263357</v>
      </c>
      <c r="E29" s="146">
        <f t="shared" si="1"/>
        <v>-2.3531202633577664E-3</v>
      </c>
      <c r="F29" s="147">
        <f t="shared" si="2"/>
        <v>-1.0763343956676774E-4</v>
      </c>
      <c r="N29" s="8" t="s">
        <v>152</v>
      </c>
      <c r="O29" s="8">
        <f>INDEX(LINEST(C4:C33,B4:B33^{1,2,3,4,5,6}),1,2)</f>
        <v>-6.20944509783197E-6</v>
      </c>
    </row>
    <row r="30" spans="2:15">
      <c r="B30" s="148">
        <v>27</v>
      </c>
      <c r="C30" s="11">
        <f>C$33-(B$33-B30)*((C$33-C$28)/(B$33-B$28))</f>
        <v>22.22</v>
      </c>
      <c r="D30" s="146">
        <f t="shared" si="0"/>
        <v>22.232300494640818</v>
      </c>
      <c r="E30" s="146">
        <f t="shared" si="1"/>
        <v>-1.2300494640818727E-2</v>
      </c>
      <c r="F30" s="147">
        <f t="shared" si="2"/>
        <v>-5.5327133796989614E-4</v>
      </c>
      <c r="N30" s="8" t="s">
        <v>151</v>
      </c>
      <c r="O30" s="8">
        <f>INDEX(LINEST(C4:C33,B4:B33^{1,2,3,4,5,6}),1,3)</f>
        <v>2.4296859033228841E-4</v>
      </c>
    </row>
    <row r="31" spans="2:15">
      <c r="B31" s="148">
        <v>28</v>
      </c>
      <c r="C31" s="11">
        <f>C$33-(B$33-B31)*((C$33-C$28)/(B$33-B$28))</f>
        <v>22.580000000000002</v>
      </c>
      <c r="D31" s="146">
        <f t="shared" si="0"/>
        <v>22.594686247742068</v>
      </c>
      <c r="E31" s="146">
        <f t="shared" si="1"/>
        <v>-1.4686247742066172E-2</v>
      </c>
      <c r="F31" s="147">
        <f t="shared" si="2"/>
        <v>-6.4998679694139305E-4</v>
      </c>
      <c r="N31" s="8" t="s">
        <v>150</v>
      </c>
      <c r="O31" s="8">
        <f>INDEX(LINEST(C4:C33,B4:B33^{1,2,3,4,5,6}),1,4)</f>
        <v>-2.7613035535943909E-3</v>
      </c>
    </row>
    <row r="32" spans="2:15">
      <c r="B32" s="148">
        <v>29</v>
      </c>
      <c r="C32" s="11">
        <f>C$33-(B$33-B32)*((C$33-C$28)/(B$33-B$28))</f>
        <v>22.94</v>
      </c>
      <c r="D32" s="146">
        <f t="shared" si="0"/>
        <v>22.946848751534127</v>
      </c>
      <c r="E32" s="146">
        <f t="shared" si="1"/>
        <v>-6.8487515341253413E-3</v>
      </c>
      <c r="F32" s="147">
        <f t="shared" si="2"/>
        <v>-2.9846152769308354E-4</v>
      </c>
      <c r="N32" s="8" t="s">
        <v>149</v>
      </c>
      <c r="O32" s="8">
        <f>INDEX(LINEST(C4:C33,B4:B33^{1,2,3,4,5,6}),1,5)</f>
        <v>-5.2702904715672225E-2</v>
      </c>
    </row>
    <row r="33" spans="2:15">
      <c r="B33" s="145">
        <v>30</v>
      </c>
      <c r="C33" s="10">
        <v>23.3</v>
      </c>
      <c r="D33" s="146">
        <f t="shared" si="0"/>
        <v>23.242214008340657</v>
      </c>
      <c r="E33" s="146">
        <f t="shared" si="1"/>
        <v>5.7785991659343949E-2</v>
      </c>
      <c r="F33" s="147">
        <f t="shared" si="2"/>
        <v>2.4862515954207076E-3</v>
      </c>
      <c r="N33" s="8" t="s">
        <v>148</v>
      </c>
      <c r="O33" s="8">
        <f>INDEX(LINEST(C4:C33,B4:B33^{1,2,3,4,5,6}),1,6)</f>
        <v>1.9557609838000838</v>
      </c>
    </row>
    <row r="34" spans="2:15">
      <c r="B34" s="148">
        <v>31</v>
      </c>
      <c r="C34" s="11">
        <f>C$38-(B$38-B34)*((C$38-C$33)/(B$38-B$33))</f>
        <v>23.62</v>
      </c>
      <c r="D34" s="146">
        <f t="shared" si="0"/>
        <v>23.520421108169909</v>
      </c>
      <c r="E34" s="146">
        <f t="shared" si="1"/>
        <v>9.957889183009172E-2</v>
      </c>
      <c r="F34" s="147">
        <f t="shared" si="2"/>
        <v>4.2337206197171628E-3</v>
      </c>
      <c r="N34" s="8" t="s">
        <v>147</v>
      </c>
      <c r="O34" s="8">
        <f>INDEX(LINEST(C4:C33,B4:B33^{1,2,3,4,5,6}),1,7)</f>
        <v>1.1755231358680769</v>
      </c>
    </row>
    <row r="35" spans="2:15">
      <c r="B35" s="148">
        <v>32</v>
      </c>
      <c r="C35" s="11">
        <f>C$38-(B$38-B35)*((C$38-C$33)/(B$38-B$33))</f>
        <v>23.94</v>
      </c>
      <c r="D35" s="146">
        <f t="shared" si="0"/>
        <v>23.801417825880357</v>
      </c>
      <c r="E35" s="146">
        <f t="shared" si="1"/>
        <v>0.13858217411964446</v>
      </c>
      <c r="F35" s="147">
        <f t="shared" si="2"/>
        <v>5.8224335681784645E-3</v>
      </c>
    </row>
    <row r="36" spans="2:15">
      <c r="B36" s="148">
        <v>33</v>
      </c>
      <c r="C36" s="11">
        <f>C$38-(B$38-B36)*((C$38-C$33)/(B$38-B$33))</f>
        <v>24.259999999999998</v>
      </c>
      <c r="D36" s="146">
        <f t="shared" si="0"/>
        <v>24.085014503297732</v>
      </c>
      <c r="E36" s="146">
        <f t="shared" si="1"/>
        <v>0.17498549670226637</v>
      </c>
      <c r="F36" s="147">
        <f t="shared" si="2"/>
        <v>7.265326607061251E-3</v>
      </c>
    </row>
    <row r="37" spans="2:15">
      <c r="B37" s="148">
        <v>34</v>
      </c>
      <c r="C37" s="11">
        <f>C$38-(B$38-B37)*((C$38-C$33)/(B$38-B$33))</f>
        <v>24.58</v>
      </c>
      <c r="D37" s="146">
        <f t="shared" si="0"/>
        <v>24.371027368226503</v>
      </c>
      <c r="E37" s="146">
        <f t="shared" si="1"/>
        <v>0.20897263177349501</v>
      </c>
      <c r="F37" s="147">
        <f t="shared" si="2"/>
        <v>8.5746336671035372E-3</v>
      </c>
    </row>
    <row r="38" spans="2:15">
      <c r="B38" s="145">
        <v>35</v>
      </c>
      <c r="C38" s="10">
        <v>24.9</v>
      </c>
      <c r="D38" s="146">
        <f t="shared" si="0"/>
        <v>24.659278428915655</v>
      </c>
      <c r="E38" s="146">
        <f t="shared" si="1"/>
        <v>0.24072157108434311</v>
      </c>
      <c r="F38" s="147">
        <f t="shared" si="2"/>
        <v>9.7619065285410311E-3</v>
      </c>
    </row>
    <row r="39" spans="2:15">
      <c r="B39" s="148">
        <v>36</v>
      </c>
      <c r="C39" s="11">
        <f>C$43-(B$43-B39)*((C$43-C$38)/(B$43-B$38))</f>
        <v>25.18</v>
      </c>
      <c r="D39" s="146">
        <f t="shared" si="0"/>
        <v>24.949595369404644</v>
      </c>
      <c r="E39" s="146">
        <f t="shared" si="1"/>
        <v>0.23040463059535554</v>
      </c>
      <c r="F39" s="147">
        <f t="shared" si="2"/>
        <v>9.2348042997882906E-3</v>
      </c>
    </row>
    <row r="40" spans="2:15">
      <c r="B40" s="148">
        <v>37</v>
      </c>
      <c r="C40" s="11">
        <f>C$43-(B$43-B40)*((C$43-C$38)/(B$43-B$38))</f>
        <v>25.46</v>
      </c>
      <c r="D40" s="146">
        <f t="shared" si="0"/>
        <v>25.241811445749601</v>
      </c>
      <c r="E40" s="146">
        <f t="shared" si="1"/>
        <v>0.21818855425039985</v>
      </c>
      <c r="F40" s="147">
        <f t="shared" si="2"/>
        <v>8.6439340821216071E-3</v>
      </c>
    </row>
    <row r="41" spans="2:15">
      <c r="B41" s="148">
        <v>38</v>
      </c>
      <c r="C41" s="11">
        <f>C$43-(B$43-B41)*((C$43-C$38)/(B$43-B$38))</f>
        <v>25.74</v>
      </c>
      <c r="D41" s="146">
        <f t="shared" si="0"/>
        <v>25.535765383129764</v>
      </c>
      <c r="E41" s="146">
        <f t="shared" si="1"/>
        <v>0.20423461687023448</v>
      </c>
      <c r="F41" s="147">
        <f t="shared" si="2"/>
        <v>7.9979829782255152E-3</v>
      </c>
    </row>
    <row r="42" spans="2:15">
      <c r="B42" s="148">
        <v>39</v>
      </c>
      <c r="C42" s="11">
        <f>C$43-(B$43-B42)*((C$43-C$38)/(B$43-B$38))</f>
        <v>26.02</v>
      </c>
      <c r="D42" s="146">
        <f t="shared" si="0"/>
        <v>25.831301273834136</v>
      </c>
      <c r="E42" s="146">
        <f t="shared" si="1"/>
        <v>0.18869872616586392</v>
      </c>
      <c r="F42" s="147">
        <f t="shared" si="2"/>
        <v>7.3050414365694039E-3</v>
      </c>
    </row>
    <row r="43" spans="2:15">
      <c r="B43" s="145">
        <v>40</v>
      </c>
      <c r="C43" s="10">
        <v>26.3</v>
      </c>
      <c r="D43" s="146">
        <f t="shared" si="0"/>
        <v>26.128268476128337</v>
      </c>
      <c r="E43" s="146">
        <f t="shared" si="1"/>
        <v>0.17173152387166368</v>
      </c>
      <c r="F43" s="147">
        <f t="shared" si="2"/>
        <v>6.5726331627586898E-3</v>
      </c>
    </row>
    <row r="44" spans="2:15">
      <c r="B44" s="148">
        <v>41</v>
      </c>
      <c r="C44" s="11">
        <f>C$48-(B$48-B44)*((C$48-C$43)/(B$48-B$43))</f>
        <v>26.580000000000002</v>
      </c>
      <c r="D44" s="146">
        <f t="shared" si="0"/>
        <v>26.426521514001749</v>
      </c>
      <c r="E44" s="146">
        <f t="shared" si="1"/>
        <v>0.15347848599825298</v>
      </c>
      <c r="F44" s="147">
        <f t="shared" si="2"/>
        <v>5.80774453864219E-3</v>
      </c>
    </row>
    <row r="45" spans="2:15">
      <c r="B45" s="148">
        <v>42</v>
      </c>
      <c r="C45" s="11">
        <f>C$48-(B$48-B45)*((C$48-C$43)/(B$48-B$43))</f>
        <v>26.86</v>
      </c>
      <c r="D45" s="146">
        <f t="shared" si="0"/>
        <v>26.72591997779481</v>
      </c>
      <c r="E45" s="146">
        <f t="shared" si="1"/>
        <v>0.13408002220518966</v>
      </c>
      <c r="F45" s="147">
        <f t="shared" si="2"/>
        <v>5.0168533886425504E-3</v>
      </c>
    </row>
    <row r="46" spans="2:15">
      <c r="B46" s="148">
        <v>43</v>
      </c>
      <c r="C46" s="11">
        <f>C$48-(B$48-B46)*((C$48-C$43)/(B$48-B$43))</f>
        <v>27.14</v>
      </c>
      <c r="D46" s="146">
        <f t="shared" si="0"/>
        <v>27.026328425706602</v>
      </c>
      <c r="E46" s="146">
        <f t="shared" si="1"/>
        <v>0.11367157429339869</v>
      </c>
      <c r="F46" s="147">
        <f t="shared" si="2"/>
        <v>4.205956965477986E-3</v>
      </c>
    </row>
    <row r="47" spans="2:15">
      <c r="B47" s="148">
        <v>44</v>
      </c>
      <c r="C47" s="11">
        <f>C$48-(B$48-B47)*((C$48-C$43)/(B$48-B$43))</f>
        <v>27.419999999999998</v>
      </c>
      <c r="D47" s="146">
        <f t="shared" si="0"/>
        <v>27.327616286182604</v>
      </c>
      <c r="E47" s="146">
        <f t="shared" si="1"/>
        <v>9.2383713817394408E-2</v>
      </c>
      <c r="F47" s="147">
        <f t="shared" si="2"/>
        <v>3.3805990559119259E-3</v>
      </c>
    </row>
    <row r="48" spans="2:15">
      <c r="B48" s="145">
        <v>45</v>
      </c>
      <c r="C48" s="10">
        <v>27.7</v>
      </c>
      <c r="D48" s="146">
        <f t="shared" si="0"/>
        <v>27.629657761182717</v>
      </c>
      <c r="E48" s="146">
        <f t="shared" si="1"/>
        <v>7.0342238817282521E-2</v>
      </c>
      <c r="F48" s="147">
        <f t="shared" si="2"/>
        <v>2.5458961318047812E-3</v>
      </c>
    </row>
    <row r="49" spans="2:6">
      <c r="B49" s="148">
        <v>46</v>
      </c>
      <c r="C49" s="11">
        <f>C$53-(B$53-B49)*((C$53-C$48)/(B$53-B$48))</f>
        <v>27.98</v>
      </c>
      <c r="D49" s="146">
        <f t="shared" si="0"/>
        <v>27.932331730329501</v>
      </c>
      <c r="E49" s="146">
        <f t="shared" si="1"/>
        <v>4.7668269670499086E-2</v>
      </c>
      <c r="F49" s="147">
        <f t="shared" si="2"/>
        <v>1.7065624929100132E-3</v>
      </c>
    </row>
    <row r="50" spans="2:6">
      <c r="B50" s="148">
        <v>47</v>
      </c>
      <c r="C50" s="11">
        <f>C$53-(B$53-B50)*((C$53-C$48)/(B$53-B$48))</f>
        <v>28.26</v>
      </c>
      <c r="D50" s="146">
        <f t="shared" si="0"/>
        <v>28.235521655936623</v>
      </c>
      <c r="E50" s="146">
        <f t="shared" si="1"/>
        <v>2.4478344063378898E-2</v>
      </c>
      <c r="F50" s="147">
        <f t="shared" si="2"/>
        <v>8.669343659259976E-4</v>
      </c>
    </row>
    <row r="51" spans="2:6">
      <c r="B51" s="148">
        <v>48</v>
      </c>
      <c r="C51" s="11">
        <f>C$53-(B$53-B51)*((C$53-C$48)/(B$53-B$48))</f>
        <v>28.54</v>
      </c>
      <c r="D51" s="146">
        <f t="shared" si="0"/>
        <v>28.539115488917552</v>
      </c>
      <c r="E51" s="146">
        <f t="shared" si="1"/>
        <v>8.8451108244669285E-4</v>
      </c>
      <c r="F51" s="147">
        <f t="shared" si="2"/>
        <v>3.0992939595186897E-5</v>
      </c>
    </row>
    <row r="52" spans="2:6">
      <c r="B52" s="148">
        <v>49</v>
      </c>
      <c r="C52" s="11">
        <f>C$53-(B$53-B52)*((C$53-C$48)/(B$53-B$48))</f>
        <v>28.82</v>
      </c>
      <c r="D52" s="146">
        <f t="shared" si="0"/>
        <v>28.843005575574473</v>
      </c>
      <c r="E52" s="146">
        <f t="shared" si="1"/>
        <v>-2.3005575574472914E-2</v>
      </c>
      <c r="F52" s="147">
        <f t="shared" si="2"/>
        <v>-7.9761367150843476E-4</v>
      </c>
    </row>
    <row r="53" spans="2:6">
      <c r="B53" s="145">
        <v>50</v>
      </c>
      <c r="C53" s="10">
        <v>29.1</v>
      </c>
      <c r="D53" s="146">
        <f t="shared" si="0"/>
        <v>29.147088565267406</v>
      </c>
      <c r="E53" s="146">
        <f t="shared" si="1"/>
        <v>-4.7088565267404903E-2</v>
      </c>
      <c r="F53" s="147">
        <f t="shared" si="2"/>
        <v>-1.6155495311980239E-3</v>
      </c>
    </row>
    <row r="54" spans="2:6">
      <c r="B54" s="148">
        <v>51</v>
      </c>
      <c r="C54" s="11">
        <f t="shared" ref="C54:C62" si="3">C$63-(B$63-B54)*((C$63-C$53)/(B$63-B$53))</f>
        <v>29.39</v>
      </c>
      <c r="D54" s="146">
        <f t="shared" si="0"/>
        <v>29.451265318963603</v>
      </c>
      <c r="E54" s="146">
        <f t="shared" si="1"/>
        <v>-6.1265318963602766E-2</v>
      </c>
      <c r="F54" s="147">
        <f t="shared" si="2"/>
        <v>-2.0802270564638237E-3</v>
      </c>
    </row>
    <row r="55" spans="2:6">
      <c r="B55" s="148">
        <v>52</v>
      </c>
      <c r="C55" s="11">
        <f t="shared" si="3"/>
        <v>29.68</v>
      </c>
      <c r="D55" s="146">
        <f t="shared" si="0"/>
        <v>29.755440818667104</v>
      </c>
      <c r="E55" s="146">
        <f t="shared" si="1"/>
        <v>-7.5440818667104281E-2</v>
      </c>
      <c r="F55" s="147">
        <f t="shared" si="2"/>
        <v>-2.5353621587006492E-3</v>
      </c>
    </row>
    <row r="56" spans="2:6">
      <c r="B56" s="148">
        <v>53</v>
      </c>
      <c r="C56" s="11">
        <f t="shared" si="3"/>
        <v>29.970000000000002</v>
      </c>
      <c r="D56" s="146">
        <f t="shared" si="0"/>
        <v>30.059524077728575</v>
      </c>
      <c r="E56" s="146">
        <f t="shared" si="1"/>
        <v>-8.9524077728572848E-2</v>
      </c>
      <c r="F56" s="147">
        <f t="shared" si="2"/>
        <v>-2.9782267176645671E-3</v>
      </c>
    </row>
    <row r="57" spans="2:6">
      <c r="B57" s="148">
        <v>54</v>
      </c>
      <c r="C57" s="11">
        <f t="shared" si="3"/>
        <v>30.26</v>
      </c>
      <c r="D57" s="146">
        <f t="shared" si="0"/>
        <v>30.363428052035339</v>
      </c>
      <c r="E57" s="146">
        <f t="shared" si="1"/>
        <v>-0.103428052035337</v>
      </c>
      <c r="F57" s="147">
        <f t="shared" si="2"/>
        <v>-3.4063364603656998E-3</v>
      </c>
    </row>
    <row r="58" spans="2:6">
      <c r="B58" s="148">
        <v>55</v>
      </c>
      <c r="C58" s="11">
        <f t="shared" si="3"/>
        <v>30.55</v>
      </c>
      <c r="D58" s="146">
        <f t="shared" si="0"/>
        <v>30.667069552081642</v>
      </c>
      <c r="E58" s="146">
        <f t="shared" si="1"/>
        <v>-0.1170695520816416</v>
      </c>
      <c r="F58" s="147">
        <f t="shared" si="2"/>
        <v>-3.8174352421519453E-3</v>
      </c>
    </row>
    <row r="59" spans="2:6">
      <c r="B59" s="148">
        <v>56</v>
      </c>
      <c r="C59" s="11">
        <f t="shared" si="3"/>
        <v>30.84</v>
      </c>
      <c r="D59" s="146">
        <f t="shared" si="0"/>
        <v>30.970369155919158</v>
      </c>
      <c r="E59" s="146">
        <f t="shared" si="1"/>
        <v>-0.13036915591915843</v>
      </c>
      <c r="F59" s="147">
        <f t="shared" si="2"/>
        <v>-4.209480205509375E-3</v>
      </c>
    </row>
    <row r="60" spans="2:6">
      <c r="B60" s="148">
        <v>57</v>
      </c>
      <c r="C60" s="11">
        <f t="shared" si="3"/>
        <v>31.13</v>
      </c>
      <c r="D60" s="146">
        <f t="shared" si="0"/>
        <v>31.273251122987702</v>
      </c>
      <c r="E60" s="146">
        <f t="shared" si="1"/>
        <v>-0.14325112298770293</v>
      </c>
      <c r="F60" s="147">
        <f t="shared" si="2"/>
        <v>-4.5806277839276488E-3</v>
      </c>
    </row>
    <row r="61" spans="2:6">
      <c r="B61" s="148">
        <v>58</v>
      </c>
      <c r="C61" s="11">
        <f t="shared" si="3"/>
        <v>31.42</v>
      </c>
      <c r="D61" s="146">
        <f t="shared" si="0"/>
        <v>31.575643308826166</v>
      </c>
      <c r="E61" s="146">
        <f t="shared" si="1"/>
        <v>-0.15564330882616417</v>
      </c>
      <c r="F61" s="147">
        <f t="shared" si="2"/>
        <v>-4.9292205167094094E-3</v>
      </c>
    </row>
    <row r="62" spans="2:6">
      <c r="B62" s="148">
        <v>59</v>
      </c>
      <c r="C62" s="11">
        <f t="shared" si="3"/>
        <v>31.71</v>
      </c>
      <c r="D62" s="146">
        <f t="shared" si="0"/>
        <v>31.877477080663706</v>
      </c>
      <c r="E62" s="146">
        <f t="shared" si="1"/>
        <v>-0.16747708066370492</v>
      </c>
      <c r="F62" s="147">
        <f t="shared" si="2"/>
        <v>-5.2537746396904561E-3</v>
      </c>
    </row>
    <row r="63" spans="2:6">
      <c r="B63" s="145">
        <v>60</v>
      </c>
      <c r="C63" s="10">
        <v>32</v>
      </c>
      <c r="D63" s="146">
        <f t="shared" si="0"/>
        <v>32.178687233891118</v>
      </c>
      <c r="E63" s="146">
        <f t="shared" si="1"/>
        <v>-0.17868723389111807</v>
      </c>
      <c r="F63" s="147">
        <f t="shared" si="2"/>
        <v>-5.5529684164032922E-3</v>
      </c>
    </row>
    <row r="64" spans="2:6">
      <c r="B64" s="148">
        <v>61</v>
      </c>
      <c r="C64" s="11">
        <f t="shared" ref="C64:C72" si="4">C$73-(B$73-B64)*((C$73-C$63)/(B$73-B$63))</f>
        <v>32.299999999999997</v>
      </c>
      <c r="D64" s="146">
        <f t="shared" si="0"/>
        <v>32.479211909412491</v>
      </c>
      <c r="E64" s="146">
        <f t="shared" si="1"/>
        <v>-0.17921190941249421</v>
      </c>
      <c r="F64" s="147">
        <f t="shared" si="2"/>
        <v>-5.51774193020238E-3</v>
      </c>
    </row>
    <row r="65" spans="2:6">
      <c r="B65" s="148">
        <v>62</v>
      </c>
      <c r="C65" s="11">
        <f t="shared" si="4"/>
        <v>32.6</v>
      </c>
      <c r="D65" s="146">
        <f t="shared" si="0"/>
        <v>32.778992511877036</v>
      </c>
      <c r="E65" s="146">
        <f t="shared" si="1"/>
        <v>-0.17899251187703413</v>
      </c>
      <c r="F65" s="147">
        <f t="shared" si="2"/>
        <v>-5.4605861303448355E-3</v>
      </c>
    </row>
    <row r="66" spans="2:6">
      <c r="B66" s="148">
        <v>63</v>
      </c>
      <c r="C66" s="11">
        <f t="shared" si="4"/>
        <v>32.9</v>
      </c>
      <c r="D66" s="146">
        <f t="shared" si="0"/>
        <v>33.077973628791142</v>
      </c>
      <c r="E66" s="146">
        <f t="shared" si="1"/>
        <v>-0.17797362879114331</v>
      </c>
      <c r="F66" s="147">
        <f t="shared" si="2"/>
        <v>-5.3804271926812808E-3</v>
      </c>
    </row>
    <row r="67" spans="2:6">
      <c r="B67" s="148">
        <v>64</v>
      </c>
      <c r="C67" s="11">
        <f t="shared" si="4"/>
        <v>33.200000000000003</v>
      </c>
      <c r="D67" s="146">
        <f t="shared" si="0"/>
        <v>33.376102950510727</v>
      </c>
      <c r="E67" s="146">
        <f t="shared" si="1"/>
        <v>-0.17610295051072455</v>
      </c>
      <c r="F67" s="147">
        <f t="shared" si="2"/>
        <v>-5.276318531610702E-3</v>
      </c>
    </row>
    <row r="68" spans="2:6">
      <c r="B68" s="148">
        <v>65</v>
      </c>
      <c r="C68" s="11">
        <f t="shared" si="4"/>
        <v>33.5</v>
      </c>
      <c r="D68" s="146">
        <f t="shared" ref="D68:D131" si="5">IF(B68=0,0,IF(B68&lt;30,($O$28*B68^6)+($O$29*B68^5)+($O$30*B68^4)+($O$31*B68^3)+($O$32*B68^2)+($O$33*B68)+$O$34,IF(B68&lt;250,($O$19*B68^6)+($O$20*B68^5)+($O$21*B68^4)+($O$22*B68^3)+($O$23*B68^2)+($O$24*B68)+$O$25,IF(B68&lt;1000,($O$10*B68^6)+($O$11*B68^5)+($O$12*B68^4)+($O$13*B68^3)+($O$14*B68^2)+($O$15*B68)+$O$16,IF(B68&lt;9000,(0.8759882+1.259865*(B68/1000)-0.02582505*(B68/1000)^2+0.0008687869*(B68/1000)^3-0.0000101455*(B68/1000)^4)*100,(0.095*B68)+205)))))</f>
        <v>33.673331191113718</v>
      </c>
      <c r="E68" s="146">
        <f t="shared" ref="E68:E131" si="6">C68-D68</f>
        <v>-0.17333119111371786</v>
      </c>
      <c r="F68" s="147">
        <f t="shared" ref="F68:F131" si="7">C68/D68-1</f>
        <v>-5.1474322552161889E-3</v>
      </c>
    </row>
    <row r="69" spans="2:6">
      <c r="B69" s="148">
        <v>66</v>
      </c>
      <c r="C69" s="11">
        <f t="shared" si="4"/>
        <v>33.799999999999997</v>
      </c>
      <c r="D69" s="146">
        <f t="shared" si="5"/>
        <v>33.969612010152829</v>
      </c>
      <c r="E69" s="146">
        <f t="shared" si="6"/>
        <v>-0.16961201015283223</v>
      </c>
      <c r="F69" s="147">
        <f t="shared" si="7"/>
        <v>-4.9930511453041282E-3</v>
      </c>
    </row>
    <row r="70" spans="2:6">
      <c r="B70" s="148">
        <v>67</v>
      </c>
      <c r="C70" s="11">
        <f t="shared" si="4"/>
        <v>34.1</v>
      </c>
      <c r="D70" s="146">
        <f t="shared" si="5"/>
        <v>34.26490193528852</v>
      </c>
      <c r="E70" s="146">
        <f t="shared" si="6"/>
        <v>-0.16490193528851904</v>
      </c>
      <c r="F70" s="147">
        <f t="shared" si="7"/>
        <v>-4.8125611332536788E-3</v>
      </c>
    </row>
    <row r="71" spans="2:6">
      <c r="B71" s="148">
        <v>68</v>
      </c>
      <c r="C71" s="11">
        <f t="shared" si="4"/>
        <v>34.4</v>
      </c>
      <c r="D71" s="146">
        <f t="shared" si="5"/>
        <v>34.559160285802214</v>
      </c>
      <c r="E71" s="146">
        <f t="shared" si="6"/>
        <v>-0.15916028580221564</v>
      </c>
      <c r="F71" s="147">
        <f t="shared" si="7"/>
        <v>-4.6054442436092025E-3</v>
      </c>
    </row>
    <row r="72" spans="2:6">
      <c r="B72" s="148">
        <v>69</v>
      </c>
      <c r="C72" s="11">
        <f t="shared" si="4"/>
        <v>34.700000000000003</v>
      </c>
      <c r="D72" s="146">
        <f t="shared" si="5"/>
        <v>34.852349096989755</v>
      </c>
      <c r="E72" s="146">
        <f t="shared" si="6"/>
        <v>-0.1523490969897523</v>
      </c>
      <c r="F72" s="147">
        <f t="shared" si="7"/>
        <v>-4.3712719784191334E-3</v>
      </c>
    </row>
    <row r="73" spans="2:6">
      <c r="B73" s="145">
        <v>70</v>
      </c>
      <c r="C73" s="10">
        <v>35</v>
      </c>
      <c r="D73" s="146">
        <f t="shared" si="5"/>
        <v>35.14443304543498</v>
      </c>
      <c r="E73" s="146">
        <f t="shared" si="6"/>
        <v>-0.14443304543497959</v>
      </c>
      <c r="F73" s="147">
        <f t="shared" si="7"/>
        <v>-4.1096991164505381E-3</v>
      </c>
    </row>
    <row r="74" spans="2:6">
      <c r="B74" s="148">
        <v>71</v>
      </c>
      <c r="C74" s="11">
        <f t="shared" ref="C74:C82" si="8">C$83-(B$83-B74)*((C$83-C$73)/(B$83-B$73))</f>
        <v>35.299999999999997</v>
      </c>
      <c r="D74" s="146">
        <f t="shared" si="5"/>
        <v>35.435379375163706</v>
      </c>
      <c r="E74" s="146">
        <f t="shared" si="6"/>
        <v>-0.13537937516370846</v>
      </c>
      <c r="F74" s="147">
        <f t="shared" si="7"/>
        <v>-3.8204579025501451E-3</v>
      </c>
    </row>
    <row r="75" spans="2:6">
      <c r="B75" s="148">
        <v>72</v>
      </c>
      <c r="C75" s="11">
        <f t="shared" si="8"/>
        <v>35.6</v>
      </c>
      <c r="D75" s="146">
        <f t="shared" si="5"/>
        <v>35.725157824677765</v>
      </c>
      <c r="E75" s="146">
        <f t="shared" si="6"/>
        <v>-0.12515782467776404</v>
      </c>
      <c r="F75" s="147">
        <f t="shared" si="7"/>
        <v>-3.5033526035624929E-3</v>
      </c>
    </row>
    <row r="76" spans="2:6">
      <c r="B76" s="148">
        <v>73</v>
      </c>
      <c r="C76" s="11">
        <f t="shared" si="8"/>
        <v>35.9</v>
      </c>
      <c r="D76" s="146">
        <f t="shared" si="5"/>
        <v>36.013740554869358</v>
      </c>
      <c r="E76" s="146">
        <f t="shared" si="6"/>
        <v>-0.1137405548693593</v>
      </c>
      <c r="F76" s="147">
        <f t="shared" si="7"/>
        <v>-3.1582544083713637E-3</v>
      </c>
    </row>
    <row r="77" spans="2:6">
      <c r="B77" s="148">
        <v>74</v>
      </c>
      <c r="C77" s="11">
        <f t="shared" si="8"/>
        <v>36.200000000000003</v>
      </c>
      <c r="D77" s="146">
        <f t="shared" si="5"/>
        <v>36.301102077815628</v>
      </c>
      <c r="E77" s="146">
        <f t="shared" si="6"/>
        <v>-0.10110207781562508</v>
      </c>
      <c r="F77" s="147">
        <f t="shared" si="7"/>
        <v>-2.7850966507545483E-3</v>
      </c>
    </row>
    <row r="78" spans="2:6">
      <c r="B78" s="148">
        <v>75</v>
      </c>
      <c r="C78" s="11">
        <f t="shared" si="8"/>
        <v>36.5</v>
      </c>
      <c r="D78" s="146">
        <f t="shared" si="5"/>
        <v>36.587219186453424</v>
      </c>
      <c r="E78" s="146">
        <f t="shared" si="6"/>
        <v>-8.7219186453424413E-2</v>
      </c>
      <c r="F78" s="147">
        <f t="shared" si="7"/>
        <v>-2.3838703348549872E-3</v>
      </c>
    </row>
    <row r="79" spans="2:6">
      <c r="B79" s="148">
        <v>76</v>
      </c>
      <c r="C79" s="11">
        <f t="shared" si="8"/>
        <v>36.799999999999997</v>
      </c>
      <c r="D79" s="146">
        <f t="shared" si="5"/>
        <v>36.872070885134328</v>
      </c>
      <c r="E79" s="146">
        <f t="shared" si="6"/>
        <v>-7.2070885134330354E-2</v>
      </c>
      <c r="F79" s="147">
        <f t="shared" si="7"/>
        <v>-1.9546199441536904E-3</v>
      </c>
    </row>
    <row r="80" spans="2:6">
      <c r="B80" s="148">
        <v>77</v>
      </c>
      <c r="C80" s="11">
        <f t="shared" si="8"/>
        <v>37.1</v>
      </c>
      <c r="D80" s="146">
        <f t="shared" si="5"/>
        <v>37.155638321059882</v>
      </c>
      <c r="E80" s="146">
        <f t="shared" si="6"/>
        <v>-5.563832105988098E-2</v>
      </c>
      <c r="F80" s="147">
        <f t="shared" si="7"/>
        <v>-1.4974395158848797E-3</v>
      </c>
    </row>
    <row r="81" spans="2:6">
      <c r="B81" s="148">
        <v>78</v>
      </c>
      <c r="C81" s="11">
        <f t="shared" si="8"/>
        <v>37.4</v>
      </c>
      <c r="D81" s="146">
        <f t="shared" si="5"/>
        <v>37.437904716597075</v>
      </c>
      <c r="E81" s="146">
        <f t="shared" si="6"/>
        <v>-3.790471659707606E-2</v>
      </c>
      <c r="F81" s="147">
        <f t="shared" si="7"/>
        <v>-1.0124689638486561E-3</v>
      </c>
    </row>
    <row r="82" spans="2:6">
      <c r="B82" s="148">
        <v>79</v>
      </c>
      <c r="C82" s="11">
        <f t="shared" si="8"/>
        <v>37.700000000000003</v>
      </c>
      <c r="D82" s="146">
        <f t="shared" si="5"/>
        <v>37.718855302473983</v>
      </c>
      <c r="E82" s="146">
        <f t="shared" si="6"/>
        <v>-1.8855302473980373E-2</v>
      </c>
      <c r="F82" s="147">
        <f t="shared" si="7"/>
        <v>-4.9989063355126984E-4</v>
      </c>
    </row>
    <row r="83" spans="2:6">
      <c r="B83" s="145">
        <v>80</v>
      </c>
      <c r="C83" s="10">
        <v>38</v>
      </c>
      <c r="D83" s="146">
        <f t="shared" si="5"/>
        <v>37.998477251855746</v>
      </c>
      <c r="E83" s="146">
        <f t="shared" si="6"/>
        <v>1.5227481442536828E-3</v>
      </c>
      <c r="F83" s="147">
        <f t="shared" si="7"/>
        <v>4.0073925440697877E-5</v>
      </c>
    </row>
    <row r="84" spans="2:6">
      <c r="B84" s="148">
        <v>81</v>
      </c>
      <c r="C84" s="11">
        <f t="shared" ref="C84:C92" si="9">C$93-(B$93-B84)*((C$93-C$83)/(B$93-B$83))</f>
        <v>38.299999999999997</v>
      </c>
      <c r="D84" s="146">
        <f t="shared" si="5"/>
        <v>38.276759615300655</v>
      </c>
      <c r="E84" s="146">
        <f t="shared" si="6"/>
        <v>2.3240384699342087E-2</v>
      </c>
      <c r="F84" s="147">
        <f t="shared" si="7"/>
        <v>6.0716698416785064E-4</v>
      </c>
    </row>
    <row r="85" spans="2:6">
      <c r="B85" s="148">
        <v>82</v>
      </c>
      <c r="C85" s="11">
        <f t="shared" si="9"/>
        <v>38.6</v>
      </c>
      <c r="D85" s="146">
        <f t="shared" si="5"/>
        <v>38.553693256596546</v>
      </c>
      <c r="E85" s="146">
        <f t="shared" si="6"/>
        <v>4.6306743403455641E-2</v>
      </c>
      <c r="F85" s="147">
        <f t="shared" si="7"/>
        <v>1.2010974693204002E-3</v>
      </c>
    </row>
    <row r="86" spans="2:6">
      <c r="B86" s="148">
        <v>83</v>
      </c>
      <c r="C86" s="11">
        <f t="shared" si="9"/>
        <v>38.9</v>
      </c>
      <c r="D86" s="146">
        <f t="shared" si="5"/>
        <v>38.829270789477413</v>
      </c>
      <c r="E86" s="146">
        <f t="shared" si="6"/>
        <v>7.0729210522586072E-2</v>
      </c>
      <c r="F86" s="147">
        <f t="shared" si="7"/>
        <v>1.8215436212043468E-3</v>
      </c>
    </row>
    <row r="87" spans="2:6">
      <c r="B87" s="148">
        <v>84</v>
      </c>
      <c r="C87" s="11">
        <f t="shared" si="9"/>
        <v>39.200000000000003</v>
      </c>
      <c r="D87" s="146">
        <f t="shared" si="5"/>
        <v>39.103486515220155</v>
      </c>
      <c r="E87" s="146">
        <f t="shared" si="6"/>
        <v>9.6513484779848113E-2</v>
      </c>
      <c r="F87" s="147">
        <f t="shared" si="7"/>
        <v>2.4681554863983379E-3</v>
      </c>
    </row>
    <row r="88" spans="2:6">
      <c r="B88" s="148">
        <v>85</v>
      </c>
      <c r="C88" s="11">
        <f t="shared" si="9"/>
        <v>39.5</v>
      </c>
      <c r="D88" s="146">
        <f t="shared" si="5"/>
        <v>39.37633636112173</v>
      </c>
      <c r="E88" s="146">
        <f t="shared" si="6"/>
        <v>0.12366363887826992</v>
      </c>
      <c r="F88" s="147">
        <f t="shared" si="7"/>
        <v>3.1405572561180595E-3</v>
      </c>
    </row>
    <row r="89" spans="2:6">
      <c r="B89" s="148">
        <v>86</v>
      </c>
      <c r="C89" s="11">
        <f t="shared" si="9"/>
        <v>39.799999999999997</v>
      </c>
      <c r="D89" s="146">
        <f t="shared" si="5"/>
        <v>39.647817819856314</v>
      </c>
      <c r="E89" s="146">
        <f t="shared" si="6"/>
        <v>0.1521821801436829</v>
      </c>
      <c r="F89" s="147">
        <f t="shared" si="7"/>
        <v>3.8383494606220037E-3</v>
      </c>
    </row>
    <row r="90" spans="2:6">
      <c r="B90" s="148">
        <v>87</v>
      </c>
      <c r="C90" s="11">
        <f t="shared" si="9"/>
        <v>40.1</v>
      </c>
      <c r="D90" s="146">
        <f t="shared" si="5"/>
        <v>39.917929889712873</v>
      </c>
      <c r="E90" s="146">
        <f t="shared" si="6"/>
        <v>0.18207011028712827</v>
      </c>
      <c r="F90" s="147">
        <f t="shared" si="7"/>
        <v>4.5611110293084511E-3</v>
      </c>
    </row>
    <row r="91" spans="2:6">
      <c r="B91" s="148">
        <v>88</v>
      </c>
      <c r="C91" s="11">
        <f t="shared" si="9"/>
        <v>40.4</v>
      </c>
      <c r="D91" s="146">
        <f t="shared" si="5"/>
        <v>40.186673015712834</v>
      </c>
      <c r="E91" s="146">
        <f t="shared" si="6"/>
        <v>0.21332698428716412</v>
      </c>
      <c r="F91" s="147">
        <f t="shared" si="7"/>
        <v>5.3084012255444346E-3</v>
      </c>
    </row>
    <row r="92" spans="2:6">
      <c r="B92" s="148">
        <v>89</v>
      </c>
      <c r="C92" s="11">
        <f t="shared" si="9"/>
        <v>40.700000000000003</v>
      </c>
      <c r="D92" s="146">
        <f t="shared" si="5"/>
        <v>40.454049031608086</v>
      </c>
      <c r="E92" s="146">
        <f t="shared" si="6"/>
        <v>0.24595096839191655</v>
      </c>
      <c r="F92" s="147">
        <f t="shared" si="7"/>
        <v>6.0797614646619369E-3</v>
      </c>
    </row>
    <row r="93" spans="2:6">
      <c r="B93" s="145">
        <v>90</v>
      </c>
      <c r="C93" s="10">
        <v>41</v>
      </c>
      <c r="D93" s="146">
        <f t="shared" si="5"/>
        <v>40.720061102759125</v>
      </c>
      <c r="E93" s="146">
        <f t="shared" si="6"/>
        <v>0.27993889724087495</v>
      </c>
      <c r="F93" s="147">
        <f t="shared" si="7"/>
        <v>6.8747170230034627E-3</v>
      </c>
    </row>
    <row r="94" spans="2:6">
      <c r="B94" s="148">
        <v>91</v>
      </c>
      <c r="C94" s="11">
        <f t="shared" ref="C94:C102" si="10">C$103-(B$103-B94)*((C$103-C$93)/(B$103-B$93))</f>
        <v>41.25</v>
      </c>
      <c r="D94" s="146">
        <f t="shared" si="5"/>
        <v>40.984713669893438</v>
      </c>
      <c r="E94" s="146">
        <f t="shared" si="6"/>
        <v>0.26528633010656222</v>
      </c>
      <c r="F94" s="147">
        <f t="shared" si="7"/>
        <v>6.4728116010099868E-3</v>
      </c>
    </row>
    <row r="95" spans="2:6">
      <c r="B95" s="148">
        <v>92</v>
      </c>
      <c r="C95" s="11">
        <f t="shared" si="10"/>
        <v>41.5</v>
      </c>
      <c r="D95" s="146">
        <f t="shared" si="5"/>
        <v>41.248012393744162</v>
      </c>
      <c r="E95" s="146">
        <f t="shared" si="6"/>
        <v>0.25198760625583816</v>
      </c>
      <c r="F95" s="147">
        <f t="shared" si="7"/>
        <v>6.1090848172373757E-3</v>
      </c>
    </row>
    <row r="96" spans="2:6">
      <c r="B96" s="148">
        <v>93</v>
      </c>
      <c r="C96" s="11">
        <f t="shared" si="10"/>
        <v>41.75</v>
      </c>
      <c r="D96" s="146">
        <f t="shared" si="5"/>
        <v>41.509964100568929</v>
      </c>
      <c r="E96" s="146">
        <f t="shared" si="6"/>
        <v>0.24003589943107073</v>
      </c>
      <c r="F96" s="147">
        <f t="shared" si="7"/>
        <v>5.7826091790760259E-3</v>
      </c>
    </row>
    <row r="97" spans="2:6">
      <c r="B97" s="148">
        <v>94</v>
      </c>
      <c r="C97" s="11">
        <f t="shared" si="10"/>
        <v>42</v>
      </c>
      <c r="D97" s="146">
        <f t="shared" si="5"/>
        <v>41.770576728548903</v>
      </c>
      <c r="E97" s="146">
        <f t="shared" si="6"/>
        <v>0.22942327145109687</v>
      </c>
      <c r="F97" s="147">
        <f t="shared" si="7"/>
        <v>5.4924611872617657E-3</v>
      </c>
    </row>
    <row r="98" spans="2:6">
      <c r="B98" s="148">
        <v>95</v>
      </c>
      <c r="C98" s="11">
        <f t="shared" si="10"/>
        <v>42.25</v>
      </c>
      <c r="D98" s="146">
        <f t="shared" si="5"/>
        <v>42.029859275068169</v>
      </c>
      <c r="E98" s="146">
        <f t="shared" si="6"/>
        <v>0.22014072493183079</v>
      </c>
      <c r="F98" s="147">
        <f t="shared" si="7"/>
        <v>5.2377221510806482E-3</v>
      </c>
    </row>
    <row r="99" spans="2:6">
      <c r="B99" s="148">
        <v>96</v>
      </c>
      <c r="C99" s="11">
        <f t="shared" si="10"/>
        <v>42.5</v>
      </c>
      <c r="D99" s="146">
        <f t="shared" si="5"/>
        <v>42.28782174487317</v>
      </c>
      <c r="E99" s="146">
        <f t="shared" si="6"/>
        <v>0.21217825512682964</v>
      </c>
      <c r="F99" s="147">
        <f t="shared" si="7"/>
        <v>5.0174789424464183E-3</v>
      </c>
    </row>
    <row r="100" spans="2:6">
      <c r="B100" s="148">
        <v>97</v>
      </c>
      <c r="C100" s="11">
        <f t="shared" si="10"/>
        <v>42.75</v>
      </c>
      <c r="D100" s="146">
        <f t="shared" si="5"/>
        <v>42.544475099112503</v>
      </c>
      <c r="E100" s="146">
        <f t="shared" si="6"/>
        <v>0.20552490088749664</v>
      </c>
      <c r="F100" s="147">
        <f t="shared" si="7"/>
        <v>4.8308246936576982E-3</v>
      </c>
    </row>
    <row r="101" spans="2:6">
      <c r="B101" s="148">
        <v>98</v>
      </c>
      <c r="C101" s="11">
        <f t="shared" si="10"/>
        <v>43</v>
      </c>
      <c r="D101" s="146">
        <f t="shared" si="5"/>
        <v>42.799831205256908</v>
      </c>
      <c r="E101" s="146">
        <f t="shared" si="6"/>
        <v>0.20016879474309235</v>
      </c>
      <c r="F101" s="147">
        <f t="shared" si="7"/>
        <v>4.6768594432800015E-3</v>
      </c>
    </row>
    <row r="102" spans="2:6">
      <c r="B102" s="148">
        <v>99</v>
      </c>
      <c r="C102" s="11">
        <f t="shared" si="10"/>
        <v>43.25</v>
      </c>
      <c r="D102" s="146">
        <f t="shared" si="5"/>
        <v>43.053902787899503</v>
      </c>
      <c r="E102" s="146">
        <f t="shared" si="6"/>
        <v>0.19609721210049713</v>
      </c>
      <c r="F102" s="147">
        <f t="shared" si="7"/>
        <v>4.5546907342302045E-3</v>
      </c>
    </row>
    <row r="103" spans="2:6">
      <c r="B103" s="145">
        <v>100</v>
      </c>
      <c r="C103" s="10">
        <v>43.5</v>
      </c>
      <c r="D103" s="146">
        <f t="shared" si="5"/>
        <v>43.306703380436126</v>
      </c>
      <c r="E103" s="146">
        <f t="shared" si="6"/>
        <v>0.19329661956387412</v>
      </c>
      <c r="F103" s="147">
        <f t="shared" si="7"/>
        <v>4.463434167819802E-3</v>
      </c>
    </row>
    <row r="104" spans="2:6">
      <c r="B104" s="148">
        <v>101</v>
      </c>
      <c r="C104" s="11">
        <f t="shared" ref="C104:C122" si="11">C$123-(B$123-B104)*((C$123-C$103)/(B$123-B$103))</f>
        <v>43.725000000000001</v>
      </c>
      <c r="D104" s="146">
        <f t="shared" si="5"/>
        <v>43.558247277626108</v>
      </c>
      <c r="E104" s="146">
        <f t="shared" si="6"/>
        <v>0.16675272237389294</v>
      </c>
      <c r="F104" s="147">
        <f t="shared" si="7"/>
        <v>3.828269794949879E-3</v>
      </c>
    </row>
    <row r="105" spans="2:6">
      <c r="B105" s="148">
        <v>102</v>
      </c>
      <c r="C105" s="11">
        <f t="shared" si="11"/>
        <v>43.95</v>
      </c>
      <c r="D105" s="146">
        <f t="shared" si="5"/>
        <v>43.808549489033034</v>
      </c>
      <c r="E105" s="146">
        <f t="shared" si="6"/>
        <v>0.14145051096696903</v>
      </c>
      <c r="F105" s="147">
        <f t="shared" si="7"/>
        <v>3.2288334723882262E-3</v>
      </c>
    </row>
    <row r="106" spans="2:6">
      <c r="B106" s="148">
        <v>103</v>
      </c>
      <c r="C106" s="11">
        <f t="shared" si="11"/>
        <v>44.174999999999997</v>
      </c>
      <c r="D106" s="146">
        <f t="shared" si="5"/>
        <v>44.057625693345983</v>
      </c>
      <c r="E106" s="146">
        <f t="shared" si="6"/>
        <v>0.11737430665401405</v>
      </c>
      <c r="F106" s="147">
        <f t="shared" si="7"/>
        <v>2.6641087622600867E-3</v>
      </c>
    </row>
    <row r="107" spans="2:6">
      <c r="B107" s="148">
        <v>104</v>
      </c>
      <c r="C107" s="11">
        <f t="shared" si="11"/>
        <v>44.4</v>
      </c>
      <c r="D107" s="146">
        <f t="shared" si="5"/>
        <v>44.305492193580747</v>
      </c>
      <c r="E107" s="146">
        <f t="shared" si="6"/>
        <v>9.4507806419251494E-2</v>
      </c>
      <c r="F107" s="147">
        <f t="shared" si="7"/>
        <v>2.1330946061117739E-3</v>
      </c>
    </row>
    <row r="108" spans="2:6">
      <c r="B108" s="148">
        <v>105</v>
      </c>
      <c r="C108" s="11">
        <f t="shared" si="11"/>
        <v>44.625</v>
      </c>
      <c r="D108" s="146">
        <f t="shared" si="5"/>
        <v>44.552165873161535</v>
      </c>
      <c r="E108" s="146">
        <f t="shared" si="6"/>
        <v>7.2834126838465352E-2</v>
      </c>
      <c r="F108" s="147">
        <f t="shared" si="7"/>
        <v>1.634805523166305E-3</v>
      </c>
    </row>
    <row r="109" spans="2:6">
      <c r="B109" s="148">
        <v>106</v>
      </c>
      <c r="C109" s="11">
        <f t="shared" si="11"/>
        <v>44.85</v>
      </c>
      <c r="D109" s="146">
        <f t="shared" si="5"/>
        <v>44.797664152882568</v>
      </c>
      <c r="E109" s="146">
        <f t="shared" si="6"/>
        <v>5.2335847117433332E-2</v>
      </c>
      <c r="F109" s="147">
        <f t="shared" si="7"/>
        <v>1.1682717861991598E-3</v>
      </c>
    </row>
    <row r="110" spans="2:6">
      <c r="B110" s="148">
        <v>107</v>
      </c>
      <c r="C110" s="11">
        <f t="shared" si="11"/>
        <v>45.075000000000003</v>
      </c>
      <c r="D110" s="146">
        <f t="shared" si="5"/>
        <v>45.042004948750282</v>
      </c>
      <c r="E110" s="146">
        <f t="shared" si="6"/>
        <v>3.2995051249720575E-2</v>
      </c>
      <c r="F110" s="147">
        <f t="shared" si="7"/>
        <v>7.3253957694063843E-4</v>
      </c>
    </row>
    <row r="111" spans="2:6">
      <c r="B111" s="148">
        <v>108</v>
      </c>
      <c r="C111" s="11">
        <f t="shared" si="11"/>
        <v>45.3</v>
      </c>
      <c r="D111" s="146">
        <f t="shared" si="5"/>
        <v>45.285206630705446</v>
      </c>
      <c r="E111" s="146">
        <f t="shared" si="6"/>
        <v>1.4793369294551439E-2</v>
      </c>
      <c r="F111" s="147">
        <f t="shared" si="7"/>
        <v>3.2667112276185684E-4</v>
      </c>
    </row>
    <row r="112" spans="2:6">
      <c r="B112" s="148">
        <v>109</v>
      </c>
      <c r="C112" s="11">
        <f t="shared" si="11"/>
        <v>45.524999999999999</v>
      </c>
      <c r="D112" s="146">
        <f t="shared" si="5"/>
        <v>45.527287982225708</v>
      </c>
      <c r="E112" s="146">
        <f t="shared" si="6"/>
        <v>-2.2879822257095839E-3</v>
      </c>
      <c r="F112" s="147">
        <f t="shared" si="7"/>
        <v>-5.0255183805414383E-5</v>
      </c>
    </row>
    <row r="113" spans="2:6">
      <c r="B113" s="148">
        <v>110</v>
      </c>
      <c r="C113" s="11">
        <f t="shared" si="11"/>
        <v>45.75</v>
      </c>
      <c r="D113" s="146">
        <f t="shared" si="5"/>
        <v>45.768268160808233</v>
      </c>
      <c r="E113" s="146">
        <f t="shared" si="6"/>
        <v>-1.8268160808233347E-2</v>
      </c>
      <c r="F113" s="147">
        <f t="shared" si="7"/>
        <v>-3.9914468128987579E-4</v>
      </c>
    </row>
    <row r="114" spans="2:6">
      <c r="B114" s="148">
        <v>111</v>
      </c>
      <c r="C114" s="11">
        <f t="shared" si="11"/>
        <v>45.975000000000001</v>
      </c>
      <c r="D114" s="146">
        <f t="shared" si="5"/>
        <v>46.008166659332581</v>
      </c>
      <c r="E114" s="146">
        <f t="shared" si="6"/>
        <v>-3.3166659332579229E-2</v>
      </c>
      <c r="F114" s="147">
        <f t="shared" si="7"/>
        <v>-7.2088634998568324E-4</v>
      </c>
    </row>
    <row r="115" spans="2:6">
      <c r="B115" s="148">
        <v>112</v>
      </c>
      <c r="C115" s="11">
        <f t="shared" si="11"/>
        <v>46.2</v>
      </c>
      <c r="D115" s="146">
        <f t="shared" si="5"/>
        <v>46.247003268304049</v>
      </c>
      <c r="E115" s="146">
        <f t="shared" si="6"/>
        <v>-4.7003268304045775E-2</v>
      </c>
      <c r="F115" s="147">
        <f t="shared" si="7"/>
        <v>-1.0163527360108615E-3</v>
      </c>
    </row>
    <row r="116" spans="2:6">
      <c r="B116" s="148">
        <v>113</v>
      </c>
      <c r="C116" s="11">
        <f t="shared" si="11"/>
        <v>46.424999999999997</v>
      </c>
      <c r="D116" s="146">
        <f t="shared" si="5"/>
        <v>46.484798038976763</v>
      </c>
      <c r="E116" s="146">
        <f t="shared" si="6"/>
        <v>-5.9798038976765611E-2</v>
      </c>
      <c r="F116" s="147">
        <f t="shared" si="7"/>
        <v>-1.2863998876928573E-3</v>
      </c>
    </row>
    <row r="117" spans="2:6">
      <c r="B117" s="148">
        <v>114</v>
      </c>
      <c r="C117" s="11">
        <f t="shared" si="11"/>
        <v>46.65</v>
      </c>
      <c r="D117" s="146">
        <f t="shared" si="5"/>
        <v>46.721571247357474</v>
      </c>
      <c r="E117" s="146">
        <f t="shared" si="6"/>
        <v>-7.1571247357475443E-2</v>
      </c>
      <c r="F117" s="147">
        <f t="shared" si="7"/>
        <v>-1.5318673034037111E-3</v>
      </c>
    </row>
    <row r="118" spans="2:6">
      <c r="B118" s="148">
        <v>115</v>
      </c>
      <c r="C118" s="11">
        <f t="shared" si="11"/>
        <v>46.875</v>
      </c>
      <c r="D118" s="146">
        <f t="shared" si="5"/>
        <v>46.957343359089322</v>
      </c>
      <c r="E118" s="146">
        <f t="shared" si="6"/>
        <v>-8.2343359089321666E-2</v>
      </c>
      <c r="F118" s="147">
        <f t="shared" si="7"/>
        <v>-1.753577890035829E-3</v>
      </c>
    </row>
    <row r="119" spans="2:6">
      <c r="B119" s="148">
        <v>116</v>
      </c>
      <c r="C119" s="11">
        <f t="shared" si="11"/>
        <v>47.1</v>
      </c>
      <c r="D119" s="146">
        <f t="shared" si="5"/>
        <v>47.192134995215852</v>
      </c>
      <c r="E119" s="146">
        <f t="shared" si="6"/>
        <v>-9.2134995215850779E-2</v>
      </c>
      <c r="F119" s="147">
        <f t="shared" si="7"/>
        <v>-1.9523379314199119E-3</v>
      </c>
    </row>
    <row r="120" spans="2:6">
      <c r="B120" s="148">
        <v>117</v>
      </c>
      <c r="C120" s="11">
        <f t="shared" si="11"/>
        <v>47.325000000000003</v>
      </c>
      <c r="D120" s="146">
        <f t="shared" si="5"/>
        <v>47.425966898825351</v>
      </c>
      <c r="E120" s="146">
        <f t="shared" si="6"/>
        <v>-0.10096689882534804</v>
      </c>
      <c r="F120" s="147">
        <f t="shared" si="7"/>
        <v>-2.1289370660748652E-3</v>
      </c>
    </row>
    <row r="121" spans="2:6">
      <c r="B121" s="148">
        <v>118</v>
      </c>
      <c r="C121" s="11">
        <f t="shared" si="11"/>
        <v>47.55</v>
      </c>
      <c r="D121" s="146">
        <f t="shared" si="5"/>
        <v>47.658859902575287</v>
      </c>
      <c r="E121" s="146">
        <f t="shared" si="6"/>
        <v>-0.10885990257528988</v>
      </c>
      <c r="F121" s="147">
        <f t="shared" si="7"/>
        <v>-2.2841482737485652E-3</v>
      </c>
    </row>
    <row r="122" spans="2:6">
      <c r="B122" s="148">
        <v>119</v>
      </c>
      <c r="C122" s="11">
        <f t="shared" si="11"/>
        <v>47.774999999999999</v>
      </c>
      <c r="D122" s="146">
        <f t="shared" si="5"/>
        <v>47.890834897097065</v>
      </c>
      <c r="E122" s="146">
        <f t="shared" si="6"/>
        <v>-0.1158348970970664</v>
      </c>
      <c r="F122" s="147">
        <f t="shared" si="7"/>
        <v>-2.4187278702900716E-3</v>
      </c>
    </row>
    <row r="123" spans="2:6">
      <c r="B123" s="145">
        <v>120</v>
      </c>
      <c r="C123" s="10">
        <v>48</v>
      </c>
      <c r="D123" s="146">
        <f t="shared" si="5"/>
        <v>48.121912800280967</v>
      </c>
      <c r="E123" s="146">
        <f t="shared" si="6"/>
        <v>-0.12191280028096685</v>
      </c>
      <c r="F123" s="147">
        <f t="shared" si="7"/>
        <v>-2.5334155104543843E-3</v>
      </c>
    </row>
    <row r="124" spans="2:6">
      <c r="B124" s="148">
        <v>121</v>
      </c>
      <c r="C124" s="11">
        <f t="shared" ref="C124:C142" si="12">C$143-(B$143-B124)*((C$143-C$123)/(B$143-B$123))</f>
        <v>48.225000000000001</v>
      </c>
      <c r="D124" s="146">
        <f t="shared" si="5"/>
        <v>48.352114527441344</v>
      </c>
      <c r="E124" s="146">
        <f t="shared" si="6"/>
        <v>-0.12711452744134277</v>
      </c>
      <c r="F124" s="147">
        <f t="shared" si="7"/>
        <v>-2.6289341983006809E-3</v>
      </c>
    </row>
    <row r="125" spans="2:6">
      <c r="B125" s="148">
        <v>122</v>
      </c>
      <c r="C125" s="11">
        <f t="shared" si="12"/>
        <v>48.45</v>
      </c>
      <c r="D125" s="146">
        <f t="shared" si="5"/>
        <v>48.581460962362044</v>
      </c>
      <c r="E125" s="146">
        <f t="shared" si="6"/>
        <v>-0.1314609623620413</v>
      </c>
      <c r="F125" s="147">
        <f t="shared" si="7"/>
        <v>-2.7059903049002632E-3</v>
      </c>
    </row>
    <row r="126" spans="2:6">
      <c r="B126" s="148">
        <v>123</v>
      </c>
      <c r="C126" s="11">
        <f t="shared" si="12"/>
        <v>48.674999999999997</v>
      </c>
      <c r="D126" s="146">
        <f t="shared" si="5"/>
        <v>48.809972929221964</v>
      </c>
      <c r="E126" s="146">
        <f t="shared" si="6"/>
        <v>-0.13497292922196635</v>
      </c>
      <c r="F126" s="147">
        <f t="shared" si="7"/>
        <v>-2.7652735931177341E-3</v>
      </c>
    </row>
    <row r="127" spans="2:6">
      <c r="B127" s="148">
        <v>124</v>
      </c>
      <c r="C127" s="11">
        <f t="shared" si="12"/>
        <v>48.9</v>
      </c>
      <c r="D127" s="146">
        <f t="shared" si="5"/>
        <v>49.037671165400894</v>
      </c>
      <c r="E127" s="146">
        <f t="shared" si="6"/>
        <v>-0.13767116540089575</v>
      </c>
      <c r="F127" s="147">
        <f t="shared" si="7"/>
        <v>-2.8074572492755578E-3</v>
      </c>
    </row>
    <row r="128" spans="2:6">
      <c r="B128" s="148">
        <v>125</v>
      </c>
      <c r="C128" s="11">
        <f t="shared" si="12"/>
        <v>49.125</v>
      </c>
      <c r="D128" s="146">
        <f t="shared" si="5"/>
        <v>49.264576295165853</v>
      </c>
      <c r="E128" s="146">
        <f t="shared" si="6"/>
        <v>-0.13957629516585257</v>
      </c>
      <c r="F128" s="147">
        <f t="shared" si="7"/>
        <v>-2.8331979215570069E-3</v>
      </c>
    </row>
    <row r="129" spans="2:7">
      <c r="B129" s="148">
        <v>126</v>
      </c>
      <c r="C129" s="11">
        <f t="shared" si="12"/>
        <v>49.35</v>
      </c>
      <c r="D129" s="146">
        <f t="shared" si="5"/>
        <v>49.490708804236967</v>
      </c>
      <c r="E129" s="146">
        <f t="shared" si="6"/>
        <v>-0.14070880423696508</v>
      </c>
      <c r="F129" s="147">
        <f t="shared" si="7"/>
        <v>-2.8431357650088307E-3</v>
      </c>
    </row>
    <row r="130" spans="2:7">
      <c r="B130" s="148">
        <v>127</v>
      </c>
      <c r="C130" s="11">
        <f t="shared" si="12"/>
        <v>49.575000000000003</v>
      </c>
      <c r="D130" s="146">
        <f t="shared" si="5"/>
        <v>49.71608901523436</v>
      </c>
      <c r="E130" s="146">
        <f t="shared" si="6"/>
        <v>-0.14108901523435691</v>
      </c>
      <c r="F130" s="147">
        <f t="shared" si="7"/>
        <v>-2.8378944930910199E-3</v>
      </c>
    </row>
    <row r="131" spans="2:7">
      <c r="B131" s="148">
        <v>128</v>
      </c>
      <c r="C131" s="11">
        <f t="shared" si="12"/>
        <v>49.8</v>
      </c>
      <c r="D131" s="146">
        <f t="shared" si="5"/>
        <v>49.940737064004722</v>
      </c>
      <c r="E131" s="146">
        <f t="shared" si="6"/>
        <v>-0.14073706400472474</v>
      </c>
      <c r="F131" s="147">
        <f t="shared" si="7"/>
        <v>-2.8180814356895123E-3</v>
      </c>
    </row>
    <row r="132" spans="2:7">
      <c r="B132" s="148">
        <v>129</v>
      </c>
      <c r="C132" s="11">
        <f t="shared" si="12"/>
        <v>50.024999999999999</v>
      </c>
      <c r="D132" s="146">
        <f t="shared" ref="D132:D195" si="13">IF(B132=0,0,IF(B132&lt;30,($O$28*B132^6)+($O$29*B132^5)+($O$30*B132^4)+($O$31*B132^3)+($O$32*B132^2)+($O$33*B132)+$O$34,IF(B132&lt;250,($O$19*B132^6)+($O$20*B132^5)+($O$21*B132^4)+($O$22*B132^3)+($O$23*B132^2)+($O$24*B132)+$O$25,IF(B132&lt;1000,($O$10*B132^6)+($O$11*B132^5)+($O$12*B132^4)+($O$13*B132^3)+($O$14*B132^2)+($O$15*B132)+$O$16,IF(B132&lt;9000,(0.8759882+1.259865*(B132/1000)-0.02582505*(B132/1000)^2+0.0008687869*(B132/1000)^3-0.0000101455*(B132/1000)^4)*100,(0.095*B132)+205)))))</f>
        <v>50.164672876828419</v>
      </c>
      <c r="E132" s="146">
        <f t="shared" ref="E132:E195" si="14">C132-D132</f>
        <v>-0.13967287682842056</v>
      </c>
      <c r="F132" s="147">
        <f t="shared" ref="F132:F195" si="15">C132/D132-1</f>
        <v>-2.7842876035764075E-3</v>
      </c>
    </row>
    <row r="133" spans="2:7">
      <c r="B133" s="148">
        <v>130</v>
      </c>
      <c r="C133" s="11">
        <f t="shared" si="12"/>
        <v>50.25</v>
      </c>
      <c r="D133" s="146">
        <f t="shared" si="13"/>
        <v>50.387916148506626</v>
      </c>
      <c r="E133" s="146">
        <f t="shared" si="14"/>
        <v>-0.13791614850662626</v>
      </c>
      <c r="F133" s="147">
        <f t="shared" si="15"/>
        <v>-2.7370877592982623E-3</v>
      </c>
    </row>
    <row r="134" spans="2:7">
      <c r="B134" s="148">
        <v>131</v>
      </c>
      <c r="C134" s="11">
        <f t="shared" si="12"/>
        <v>50.475000000000001</v>
      </c>
      <c r="D134" s="146">
        <f t="shared" si="13"/>
        <v>50.610486321328722</v>
      </c>
      <c r="E134" s="146">
        <f t="shared" si="14"/>
        <v>-0.13548632132872029</v>
      </c>
      <c r="F134" s="147">
        <f t="shared" si="15"/>
        <v>-2.6770404945036796E-3</v>
      </c>
    </row>
    <row r="135" spans="2:7">
      <c r="B135" s="148">
        <v>132</v>
      </c>
      <c r="C135" s="11">
        <f t="shared" si="12"/>
        <v>50.7</v>
      </c>
      <c r="D135" s="146">
        <f t="shared" si="13"/>
        <v>50.832402564920088</v>
      </c>
      <c r="E135" s="146">
        <f t="shared" si="14"/>
        <v>-0.13240256492008484</v>
      </c>
      <c r="F135" s="147">
        <f t="shared" si="15"/>
        <v>-2.6046883137382792E-3</v>
      </c>
      <c r="G135" s="12"/>
    </row>
    <row r="136" spans="2:7">
      <c r="B136" s="148">
        <v>133</v>
      </c>
      <c r="C136" s="11">
        <f t="shared" si="12"/>
        <v>50.924999999999997</v>
      </c>
      <c r="D136" s="146">
        <f t="shared" si="13"/>
        <v>51.053683756969825</v>
      </c>
      <c r="E136" s="146">
        <f t="shared" si="14"/>
        <v>-0.12868375696982781</v>
      </c>
      <c r="F136" s="147">
        <f t="shared" si="15"/>
        <v>-2.5205577247353617E-3</v>
      </c>
      <c r="G136" s="12"/>
    </row>
    <row r="137" spans="2:7">
      <c r="B137" s="148">
        <v>134</v>
      </c>
      <c r="C137" s="11">
        <f t="shared" si="12"/>
        <v>51.15</v>
      </c>
      <c r="D137" s="146">
        <f t="shared" si="13"/>
        <v>51.274348464839065</v>
      </c>
      <c r="E137" s="146">
        <f t="shared" si="14"/>
        <v>-0.12434846483906625</v>
      </c>
      <c r="F137" s="147">
        <f t="shared" si="15"/>
        <v>-2.4251593352636602E-3</v>
      </c>
      <c r="G137" s="12"/>
    </row>
    <row r="138" spans="2:7">
      <c r="B138" s="148">
        <v>135</v>
      </c>
      <c r="C138" s="11">
        <f t="shared" si="12"/>
        <v>51.375</v>
      </c>
      <c r="D138" s="146">
        <f t="shared" si="13"/>
        <v>51.494414928049082</v>
      </c>
      <c r="E138" s="146">
        <f t="shared" si="14"/>
        <v>-0.11941492804908194</v>
      </c>
      <c r="F138" s="147">
        <f t="shared" si="15"/>
        <v>-2.3189879565761462E-3</v>
      </c>
      <c r="G138" s="12"/>
    </row>
    <row r="139" spans="2:7">
      <c r="B139" s="148">
        <v>136</v>
      </c>
      <c r="C139" s="11">
        <f t="shared" si="12"/>
        <v>51.6</v>
      </c>
      <c r="D139" s="146">
        <f t="shared" si="13"/>
        <v>51.713901041650089</v>
      </c>
      <c r="E139" s="146">
        <f t="shared" si="14"/>
        <v>-0.11390104165008808</v>
      </c>
      <c r="F139" s="147">
        <f t="shared" si="15"/>
        <v>-2.2025227135418213E-3</v>
      </c>
    </row>
    <row r="140" spans="2:7">
      <c r="B140" s="148">
        <v>137</v>
      </c>
      <c r="C140" s="11">
        <f t="shared" si="12"/>
        <v>51.825000000000003</v>
      </c>
      <c r="D140" s="146">
        <f t="shared" si="13"/>
        <v>51.932824340469914</v>
      </c>
      <c r="E140" s="146">
        <f t="shared" si="14"/>
        <v>-0.10782434046991085</v>
      </c>
      <c r="F140" s="147">
        <f t="shared" si="15"/>
        <v>-2.0762271615157868E-3</v>
      </c>
    </row>
    <row r="141" spans="2:7">
      <c r="B141" s="148">
        <v>138</v>
      </c>
      <c r="C141" s="11">
        <f t="shared" si="12"/>
        <v>52.05</v>
      </c>
      <c r="D141" s="146">
        <f t="shared" si="13"/>
        <v>52.151201984242945</v>
      </c>
      <c r="E141" s="146">
        <f t="shared" si="14"/>
        <v>-0.10120198424294813</v>
      </c>
      <c r="F141" s="147">
        <f t="shared" si="15"/>
        <v>-1.9405494100313003E-3</v>
      </c>
    </row>
    <row r="142" spans="2:7">
      <c r="B142" s="148">
        <v>139</v>
      </c>
      <c r="C142" s="11">
        <f t="shared" si="12"/>
        <v>52.274999999999999</v>
      </c>
      <c r="D142" s="146">
        <f t="shared" si="13"/>
        <v>52.369050743619482</v>
      </c>
      <c r="E142" s="146">
        <f t="shared" si="14"/>
        <v>-9.4050743619483512E-2</v>
      </c>
      <c r="F142" s="147">
        <f t="shared" si="15"/>
        <v>-1.7959222533920904E-3</v>
      </c>
    </row>
    <row r="143" spans="2:7">
      <c r="B143" s="145">
        <v>140</v>
      </c>
      <c r="C143" s="10">
        <v>52.5</v>
      </c>
      <c r="D143" s="146">
        <f t="shared" si="13"/>
        <v>52.586386987055228</v>
      </c>
      <c r="E143" s="146">
        <f t="shared" si="14"/>
        <v>-8.6386987055227848E-2</v>
      </c>
      <c r="F143" s="147">
        <f t="shared" si="15"/>
        <v>-1.6427633082396476E-3</v>
      </c>
    </row>
    <row r="144" spans="2:7">
      <c r="B144" s="148">
        <v>141</v>
      </c>
      <c r="C144" s="11">
        <f t="shared" ref="C144:C162" si="16">C$163-(B$163-B144)*((C$163-C$143)/(B$163-B$143))</f>
        <v>52.725000000000001</v>
      </c>
      <c r="D144" s="146">
        <f t="shared" si="13"/>
        <v>52.803226668580891</v>
      </c>
      <c r="E144" s="146">
        <f t="shared" si="14"/>
        <v>-7.8226668580889225E-2</v>
      </c>
      <c r="F144" s="147">
        <f t="shared" si="15"/>
        <v>-1.4814751581732066E-3</v>
      </c>
    </row>
    <row r="145" spans="2:6">
      <c r="B145" s="148">
        <v>142</v>
      </c>
      <c r="C145" s="11">
        <f t="shared" si="16"/>
        <v>52.95</v>
      </c>
      <c r="D145" s="146">
        <f t="shared" si="13"/>
        <v>53.019585316452222</v>
      </c>
      <c r="E145" s="146">
        <f t="shared" si="14"/>
        <v>-6.9585316452219104E-2</v>
      </c>
      <c r="F145" s="147">
        <f t="shared" si="15"/>
        <v>-1.3124455055031348E-3</v>
      </c>
    </row>
    <row r="146" spans="2:6">
      <c r="B146" s="148">
        <v>143</v>
      </c>
      <c r="C146" s="11">
        <f t="shared" si="16"/>
        <v>53.174999999999997</v>
      </c>
      <c r="D146" s="146">
        <f t="shared" si="13"/>
        <v>53.235478022679978</v>
      </c>
      <c r="E146" s="146">
        <f t="shared" si="14"/>
        <v>-6.047802267998037E-2</v>
      </c>
      <c r="F146" s="147">
        <f t="shared" si="15"/>
        <v>-1.1360473302074459E-3</v>
      </c>
    </row>
    <row r="147" spans="2:6">
      <c r="B147" s="148">
        <v>144</v>
      </c>
      <c r="C147" s="11">
        <f t="shared" si="16"/>
        <v>53.4</v>
      </c>
      <c r="D147" s="146">
        <f t="shared" si="13"/>
        <v>53.450919433440454</v>
      </c>
      <c r="E147" s="146">
        <f t="shared" si="14"/>
        <v>-5.0919433440455464E-2</v>
      </c>
      <c r="F147" s="147">
        <f t="shared" si="15"/>
        <v>-9.5263905616937983E-4</v>
      </c>
    </row>
    <row r="148" spans="2:6">
      <c r="B148" s="148">
        <v>145</v>
      </c>
      <c r="C148" s="11">
        <f t="shared" si="16"/>
        <v>53.625</v>
      </c>
      <c r="D148" s="146">
        <f t="shared" si="13"/>
        <v>53.665923740366068</v>
      </c>
      <c r="E148" s="146">
        <f t="shared" si="14"/>
        <v>-4.0923740366068273E-2</v>
      </c>
      <c r="F148" s="147">
        <f t="shared" si="15"/>
        <v>-7.6256472476010639E-4</v>
      </c>
    </row>
    <row r="149" spans="2:6">
      <c r="B149" s="148">
        <v>146</v>
      </c>
      <c r="C149" s="11">
        <f t="shared" si="16"/>
        <v>53.85</v>
      </c>
      <c r="D149" s="146">
        <f t="shared" si="13"/>
        <v>53.880504672716143</v>
      </c>
      <c r="E149" s="146">
        <f t="shared" si="14"/>
        <v>-3.0504672716141101E-2</v>
      </c>
      <c r="F149" s="147">
        <f t="shared" si="15"/>
        <v>-5.6615417582728256E-4</v>
      </c>
    </row>
    <row r="150" spans="2:6">
      <c r="B150" s="148">
        <v>147</v>
      </c>
      <c r="C150" s="11">
        <f t="shared" si="16"/>
        <v>54.075000000000003</v>
      </c>
      <c r="D150" s="146">
        <f t="shared" si="13"/>
        <v>54.094675490427967</v>
      </c>
      <c r="E150" s="146">
        <f t="shared" si="14"/>
        <v>-1.9675490427964348E-2</v>
      </c>
      <c r="F150" s="147">
        <f t="shared" si="15"/>
        <v>-3.6372323615185831E-4</v>
      </c>
    </row>
    <row r="151" spans="2:6">
      <c r="B151" s="148">
        <v>148</v>
      </c>
      <c r="C151" s="11">
        <f t="shared" si="16"/>
        <v>54.3</v>
      </c>
      <c r="D151" s="146">
        <f t="shared" si="13"/>
        <v>54.308448978047991</v>
      </c>
      <c r="E151" s="146">
        <f t="shared" si="14"/>
        <v>-8.4489780479941601E-3</v>
      </c>
      <c r="F151" s="147">
        <f t="shared" si="15"/>
        <v>-1.5557391542164734E-4</v>
      </c>
    </row>
    <row r="152" spans="2:6">
      <c r="B152" s="148">
        <v>149</v>
      </c>
      <c r="C152" s="11">
        <f t="shared" si="16"/>
        <v>54.524999999999999</v>
      </c>
      <c r="D152" s="146">
        <f t="shared" si="13"/>
        <v>54.521837439543589</v>
      </c>
      <c r="E152" s="146">
        <f t="shared" si="14"/>
        <v>3.1625604564098353E-3</v>
      </c>
      <c r="F152" s="147">
        <f t="shared" si="15"/>
        <v>5.8005390223936359E-5</v>
      </c>
    </row>
    <row r="153" spans="2:6">
      <c r="B153" s="148">
        <v>150</v>
      </c>
      <c r="C153" s="11">
        <f t="shared" si="16"/>
        <v>54.75</v>
      </c>
      <c r="D153" s="146">
        <f t="shared" si="13"/>
        <v>54.734852693994419</v>
      </c>
      <c r="E153" s="146">
        <f t="shared" si="14"/>
        <v>1.5147306005580674E-2</v>
      </c>
      <c r="F153" s="147">
        <f t="shared" si="15"/>
        <v>2.7673968705577145E-4</v>
      </c>
    </row>
    <row r="154" spans="2:6">
      <c r="B154" s="148">
        <v>151</v>
      </c>
      <c r="C154" s="11">
        <f t="shared" si="16"/>
        <v>54.975000000000001</v>
      </c>
      <c r="D154" s="146">
        <f t="shared" si="13"/>
        <v>54.947506072164693</v>
      </c>
      <c r="E154" s="146">
        <f t="shared" si="14"/>
        <v>2.7493927835308796E-2</v>
      </c>
      <c r="F154" s="147">
        <f t="shared" si="15"/>
        <v>5.003671649665975E-4</v>
      </c>
    </row>
    <row r="155" spans="2:6">
      <c r="B155" s="148">
        <v>152</v>
      </c>
      <c r="C155" s="11">
        <f t="shared" si="16"/>
        <v>55.2</v>
      </c>
      <c r="D155" s="146">
        <f t="shared" si="13"/>
        <v>55.159808413955218</v>
      </c>
      <c r="E155" s="146">
        <f t="shared" si="14"/>
        <v>4.0191586044784344E-2</v>
      </c>
      <c r="F155" s="147">
        <f t="shared" si="15"/>
        <v>7.2863897102681818E-4</v>
      </c>
    </row>
    <row r="156" spans="2:6">
      <c r="B156" s="148">
        <v>153</v>
      </c>
      <c r="C156" s="11">
        <f t="shared" si="16"/>
        <v>55.424999999999997</v>
      </c>
      <c r="D156" s="146">
        <f t="shared" si="13"/>
        <v>55.371770066735806</v>
      </c>
      <c r="E156" s="146">
        <f t="shared" si="14"/>
        <v>5.3229933264191232E-2</v>
      </c>
      <c r="F156" s="147">
        <f t="shared" si="15"/>
        <v>9.6131897535589594E-4</v>
      </c>
    </row>
    <row r="157" spans="2:6">
      <c r="B157" s="148">
        <v>154</v>
      </c>
      <c r="C157" s="11">
        <f t="shared" si="16"/>
        <v>55.65</v>
      </c>
      <c r="D157" s="146">
        <f t="shared" si="13"/>
        <v>55.583400884557811</v>
      </c>
      <c r="E157" s="146">
        <f t="shared" si="14"/>
        <v>6.659911544218744E-2</v>
      </c>
      <c r="F157" s="147">
        <f t="shared" si="15"/>
        <v>1.1981835292969034E-3</v>
      </c>
    </row>
    <row r="158" spans="2:6">
      <c r="B158" s="148">
        <v>155</v>
      </c>
      <c r="C158" s="11">
        <f t="shared" si="16"/>
        <v>55.875</v>
      </c>
      <c r="D158" s="146">
        <f t="shared" si="13"/>
        <v>55.794710228247254</v>
      </c>
      <c r="E158" s="146">
        <f t="shared" si="14"/>
        <v>8.0289771752745764E-2</v>
      </c>
      <c r="F158" s="147">
        <f t="shared" si="15"/>
        <v>1.4390212158874593E-3</v>
      </c>
    </row>
    <row r="159" spans="2:6">
      <c r="B159" s="148">
        <v>156</v>
      </c>
      <c r="C159" s="11">
        <f t="shared" si="16"/>
        <v>56.1</v>
      </c>
      <c r="D159" s="146">
        <f t="shared" si="13"/>
        <v>56.005706966377772</v>
      </c>
      <c r="E159" s="146">
        <f t="shared" si="14"/>
        <v>9.4293033622228961E-2</v>
      </c>
      <c r="F159" s="147">
        <f t="shared" si="15"/>
        <v>1.6836325926361528E-3</v>
      </c>
    </row>
    <row r="160" spans="2:6">
      <c r="B160" s="148">
        <v>157</v>
      </c>
      <c r="C160" s="11">
        <f t="shared" si="16"/>
        <v>56.325000000000003</v>
      </c>
      <c r="D160" s="146">
        <f t="shared" si="13"/>
        <v>56.216399477123709</v>
      </c>
      <c r="E160" s="146">
        <f t="shared" si="14"/>
        <v>0.10860052287629429</v>
      </c>
      <c r="F160" s="147">
        <f t="shared" si="15"/>
        <v>1.9318299266122274E-3</v>
      </c>
    </row>
    <row r="161" spans="2:6">
      <c r="B161" s="148">
        <v>158</v>
      </c>
      <c r="C161" s="11">
        <f t="shared" si="16"/>
        <v>56.55</v>
      </c>
      <c r="D161" s="146">
        <f t="shared" si="13"/>
        <v>56.426795650994002</v>
      </c>
      <c r="E161" s="146">
        <f t="shared" si="14"/>
        <v>0.12320434900599508</v>
      </c>
      <c r="F161" s="147">
        <f t="shared" si="15"/>
        <v>2.183436921848747E-3</v>
      </c>
    </row>
    <row r="162" spans="2:6">
      <c r="B162" s="148">
        <v>159</v>
      </c>
      <c r="C162" s="11">
        <f t="shared" si="16"/>
        <v>56.774999999999999</v>
      </c>
      <c r="D162" s="146">
        <f t="shared" si="13"/>
        <v>56.636902894445697</v>
      </c>
      <c r="E162" s="146">
        <f t="shared" si="14"/>
        <v>0.13809710555430144</v>
      </c>
      <c r="F162" s="147">
        <f t="shared" si="15"/>
        <v>2.4382884391060955E-3</v>
      </c>
    </row>
    <row r="163" spans="2:6">
      <c r="B163" s="145">
        <v>160</v>
      </c>
      <c r="C163" s="10">
        <v>57</v>
      </c>
      <c r="D163" s="146">
        <f t="shared" si="13"/>
        <v>56.846728134378154</v>
      </c>
      <c r="E163" s="146">
        <f t="shared" si="14"/>
        <v>0.15327186562184636</v>
      </c>
      <c r="F163" s="147">
        <f t="shared" si="15"/>
        <v>2.6962302079995837E-3</v>
      </c>
    </row>
    <row r="164" spans="2:6" ht="13.5" customHeight="1">
      <c r="B164" s="148">
        <v>161</v>
      </c>
      <c r="C164" s="11">
        <f t="shared" ref="C164:C182" si="17">C$183-(B$183-B164)*((C$183-C$163)/(B$183-B$163))</f>
        <v>57.2</v>
      </c>
      <c r="D164" s="146">
        <f t="shared" si="13"/>
        <v>57.056277823507024</v>
      </c>
      <c r="E164" s="146">
        <f t="shared" si="14"/>
        <v>0.1437221764929788</v>
      </c>
      <c r="F164" s="147">
        <f t="shared" si="15"/>
        <v>2.5189546527650819E-3</v>
      </c>
    </row>
    <row r="165" spans="2:6" ht="13.5" customHeight="1">
      <c r="B165" s="148">
        <v>162</v>
      </c>
      <c r="C165" s="11">
        <f t="shared" si="17"/>
        <v>57.4</v>
      </c>
      <c r="D165" s="146">
        <f t="shared" si="13"/>
        <v>57.265557946618856</v>
      </c>
      <c r="E165" s="146">
        <f t="shared" si="14"/>
        <v>0.13444205338114301</v>
      </c>
      <c r="F165" s="147">
        <f t="shared" si="15"/>
        <v>2.3476948134595332E-3</v>
      </c>
    </row>
    <row r="166" spans="2:6" ht="13.5" customHeight="1">
      <c r="B166" s="148">
        <v>163</v>
      </c>
      <c r="C166" s="11">
        <f t="shared" si="17"/>
        <v>57.6</v>
      </c>
      <c r="D166" s="146">
        <f t="shared" si="13"/>
        <v>57.474574027705586</v>
      </c>
      <c r="E166" s="146">
        <f t="shared" si="14"/>
        <v>0.12542597229441554</v>
      </c>
      <c r="F166" s="147">
        <f t="shared" si="15"/>
        <v>2.1822862442435476E-3</v>
      </c>
    </row>
    <row r="167" spans="2:6">
      <c r="B167" s="148">
        <v>164</v>
      </c>
      <c r="C167" s="11">
        <f t="shared" si="17"/>
        <v>57.8</v>
      </c>
      <c r="D167" s="146">
        <f t="shared" si="13"/>
        <v>57.683331137979799</v>
      </c>
      <c r="E167" s="146">
        <f t="shared" si="14"/>
        <v>0.11666886202019811</v>
      </c>
      <c r="F167" s="147">
        <f t="shared" si="15"/>
        <v>2.0225749747553312E-3</v>
      </c>
    </row>
    <row r="168" spans="2:6">
      <c r="B168" s="148">
        <v>165</v>
      </c>
      <c r="C168" s="11">
        <f t="shared" si="17"/>
        <v>58</v>
      </c>
      <c r="D168" s="146">
        <f t="shared" si="13"/>
        <v>57.891833904769314</v>
      </c>
      <c r="E168" s="146">
        <f t="shared" si="14"/>
        <v>0.10816609523068621</v>
      </c>
      <c r="F168" s="147">
        <f t="shared" si="15"/>
        <v>1.8684171485847667E-3</v>
      </c>
    </row>
    <row r="169" spans="2:6">
      <c r="B169" s="148">
        <v>166</v>
      </c>
      <c r="C169" s="11">
        <f t="shared" si="17"/>
        <v>58.2</v>
      </c>
      <c r="D169" s="146">
        <f t="shared" si="13"/>
        <v>58.100086521292994</v>
      </c>
      <c r="E169" s="146">
        <f t="shared" si="14"/>
        <v>9.9913478707009062E-2</v>
      </c>
      <c r="F169" s="147">
        <f t="shared" si="15"/>
        <v>1.7196786560789157E-3</v>
      </c>
    </row>
    <row r="170" spans="2:6">
      <c r="B170" s="148">
        <v>167</v>
      </c>
      <c r="C170" s="11">
        <f t="shared" si="17"/>
        <v>58.4</v>
      </c>
      <c r="D170" s="146">
        <f t="shared" si="13"/>
        <v>58.308092757316089</v>
      </c>
      <c r="E170" s="146">
        <f t="shared" si="14"/>
        <v>9.1907242683909374E-2</v>
      </c>
      <c r="F170" s="147">
        <f t="shared" si="15"/>
        <v>1.5762347615524419E-3</v>
      </c>
    </row>
    <row r="171" spans="2:6">
      <c r="B171" s="148">
        <v>168</v>
      </c>
      <c r="C171" s="11">
        <f t="shared" si="17"/>
        <v>58.6</v>
      </c>
      <c r="D171" s="146">
        <f t="shared" si="13"/>
        <v>58.515855970685969</v>
      </c>
      <c r="E171" s="146">
        <f t="shared" si="14"/>
        <v>8.4144029314032309E-2</v>
      </c>
      <c r="F171" s="147">
        <f t="shared" si="15"/>
        <v>1.4379697249269352E-3</v>
      </c>
    </row>
    <row r="172" spans="2:6">
      <c r="B172" s="148">
        <v>169</v>
      </c>
      <c r="C172" s="11">
        <f t="shared" si="17"/>
        <v>58.8</v>
      </c>
      <c r="D172" s="146">
        <f t="shared" si="13"/>
        <v>58.723379119748415</v>
      </c>
      <c r="E172" s="146">
        <f t="shared" si="14"/>
        <v>7.662088025158198E-2</v>
      </c>
      <c r="F172" s="147">
        <f t="shared" si="15"/>
        <v>1.3047764178444332E-3</v>
      </c>
    </row>
    <row r="173" spans="2:6">
      <c r="B173" s="148">
        <v>170</v>
      </c>
      <c r="C173" s="11">
        <f t="shared" si="17"/>
        <v>59</v>
      </c>
      <c r="D173" s="146">
        <f t="shared" si="13"/>
        <v>58.930664776643624</v>
      </c>
      <c r="E173" s="146">
        <f t="shared" si="14"/>
        <v>6.9335223356375764E-2</v>
      </c>
      <c r="F173" s="147">
        <f t="shared" si="15"/>
        <v>1.1765559343199783E-3</v>
      </c>
    </row>
    <row r="174" spans="2:6">
      <c r="B174" s="148">
        <v>171</v>
      </c>
      <c r="C174" s="11">
        <f t="shared" si="17"/>
        <v>59.2</v>
      </c>
      <c r="D174" s="146">
        <f t="shared" si="13"/>
        <v>59.137715141482808</v>
      </c>
      <c r="E174" s="146">
        <f t="shared" si="14"/>
        <v>6.2284858517195119E-2</v>
      </c>
      <c r="F174" s="147">
        <f t="shared" si="15"/>
        <v>1.053217195966738E-3</v>
      </c>
    </row>
    <row r="175" spans="2:6">
      <c r="B175" s="148">
        <v>172</v>
      </c>
      <c r="C175" s="11">
        <f t="shared" si="17"/>
        <v>59.4</v>
      </c>
      <c r="D175" s="146">
        <f t="shared" si="13"/>
        <v>59.344532057404606</v>
      </c>
      <c r="E175" s="146">
        <f t="shared" si="14"/>
        <v>5.5467942595392117E-2</v>
      </c>
      <c r="F175" s="147">
        <f t="shared" si="15"/>
        <v>9.3467655186385556E-4</v>
      </c>
    </row>
    <row r="176" spans="2:6">
      <c r="B176" s="148">
        <v>173</v>
      </c>
      <c r="C176" s="11">
        <f t="shared" si="17"/>
        <v>59.6</v>
      </c>
      <c r="D176" s="146">
        <f t="shared" si="13"/>
        <v>59.551117026512586</v>
      </c>
      <c r="E176" s="146">
        <f t="shared" si="14"/>
        <v>4.8882973487415882E-2</v>
      </c>
      <c r="F176" s="147">
        <f t="shared" si="15"/>
        <v>8.2085737309767204E-4</v>
      </c>
    </row>
    <row r="177" spans="2:6">
      <c r="B177" s="148">
        <v>174</v>
      </c>
      <c r="C177" s="11">
        <f t="shared" si="17"/>
        <v>59.8</v>
      </c>
      <c r="D177" s="146">
        <f t="shared" si="13"/>
        <v>59.757471226691862</v>
      </c>
      <c r="E177" s="146">
        <f t="shared" si="14"/>
        <v>4.252877330813476E-2</v>
      </c>
      <c r="F177" s="147">
        <f t="shared" si="15"/>
        <v>7.1168964206669294E-4</v>
      </c>
    </row>
    <row r="178" spans="2:6">
      <c r="B178" s="148">
        <v>175</v>
      </c>
      <c r="C178" s="11">
        <f t="shared" si="17"/>
        <v>60</v>
      </c>
      <c r="D178" s="146">
        <f t="shared" si="13"/>
        <v>59.963595529306666</v>
      </c>
      <c r="E178" s="146">
        <f t="shared" si="14"/>
        <v>3.640447069333419E-2</v>
      </c>
      <c r="F178" s="147">
        <f t="shared" si="15"/>
        <v>6.0710953657783229E-4</v>
      </c>
    </row>
    <row r="179" spans="2:6">
      <c r="B179" s="148">
        <v>176</v>
      </c>
      <c r="C179" s="11">
        <f t="shared" si="17"/>
        <v>60.2</v>
      </c>
      <c r="D179" s="146">
        <f t="shared" si="13"/>
        <v>60.169490517777945</v>
      </c>
      <c r="E179" s="146">
        <f t="shared" si="14"/>
        <v>3.0509482222058182E-2</v>
      </c>
      <c r="F179" s="147">
        <f t="shared" si="15"/>
        <v>5.0705900880188004E-4</v>
      </c>
    </row>
    <row r="180" spans="2:6">
      <c r="B180" s="148">
        <v>177</v>
      </c>
      <c r="C180" s="11">
        <f t="shared" si="17"/>
        <v>60.4</v>
      </c>
      <c r="D180" s="146">
        <f t="shared" si="13"/>
        <v>60.375156507041282</v>
      </c>
      <c r="E180" s="146">
        <f t="shared" si="14"/>
        <v>2.484349295871624E-2</v>
      </c>
      <c r="F180" s="147">
        <f t="shared" si="15"/>
        <v>4.1148535914459217E-4</v>
      </c>
    </row>
    <row r="181" spans="2:6">
      <c r="B181" s="148">
        <v>178</v>
      </c>
      <c r="C181" s="11">
        <f t="shared" si="17"/>
        <v>60.6</v>
      </c>
      <c r="D181" s="146">
        <f t="shared" si="13"/>
        <v>60.580593563884783</v>
      </c>
      <c r="E181" s="146">
        <f t="shared" si="14"/>
        <v>1.9406436115218639E-2</v>
      </c>
      <c r="F181" s="147">
        <f t="shared" si="15"/>
        <v>3.2034080509224516E-4</v>
      </c>
    </row>
    <row r="182" spans="2:6">
      <c r="B182" s="148">
        <v>179</v>
      </c>
      <c r="C182" s="11">
        <f t="shared" si="17"/>
        <v>60.8</v>
      </c>
      <c r="D182" s="146">
        <f t="shared" si="13"/>
        <v>60.785801528167482</v>
      </c>
      <c r="E182" s="146">
        <f t="shared" si="14"/>
        <v>1.419847183251477E-2</v>
      </c>
      <c r="F182" s="147">
        <f t="shared" si="15"/>
        <v>2.3358204507561986E-4</v>
      </c>
    </row>
    <row r="183" spans="2:6">
      <c r="B183" s="145">
        <v>180</v>
      </c>
      <c r="C183" s="10">
        <v>61</v>
      </c>
      <c r="D183" s="146">
        <f t="shared" si="13"/>
        <v>60.990780034917734</v>
      </c>
      <c r="E183" s="146">
        <f t="shared" si="14"/>
        <v>9.2199650822664125E-3</v>
      </c>
      <c r="F183" s="147">
        <f t="shared" si="15"/>
        <v>1.511698174214704E-4</v>
      </c>
    </row>
    <row r="184" spans="2:6">
      <c r="B184" s="148">
        <v>181</v>
      </c>
      <c r="C184" s="11">
        <f t="shared" ref="C184:C202" si="18">C$203-(B$203-B184)*((C$203-C$183)/(B$203-B$183))</f>
        <v>61.2</v>
      </c>
      <c r="D184" s="146">
        <f t="shared" si="13"/>
        <v>61.195528537311951</v>
      </c>
      <c r="E184" s="146">
        <f t="shared" si="14"/>
        <v>4.4714626880519859E-3</v>
      </c>
      <c r="F184" s="147">
        <f t="shared" si="15"/>
        <v>7.3068454426783447E-5</v>
      </c>
    </row>
    <row r="185" spans="2:6">
      <c r="B185" s="148">
        <v>182</v>
      </c>
      <c r="C185" s="11">
        <f t="shared" si="18"/>
        <v>61.4</v>
      </c>
      <c r="D185" s="146">
        <f t="shared" si="13"/>
        <v>61.400046330533932</v>
      </c>
      <c r="E185" s="146">
        <f t="shared" si="14"/>
        <v>-4.6330533933769402E-5</v>
      </c>
      <c r="F185" s="147">
        <f t="shared" si="15"/>
        <v>-7.5456838721787989E-7</v>
      </c>
    </row>
    <row r="186" spans="2:6">
      <c r="B186" s="148">
        <v>183</v>
      </c>
      <c r="C186" s="11">
        <f t="shared" si="18"/>
        <v>61.6</v>
      </c>
      <c r="D186" s="146">
        <f t="shared" si="13"/>
        <v>61.604332576513315</v>
      </c>
      <c r="E186" s="146">
        <f t="shared" si="14"/>
        <v>-4.3325765133133132E-3</v>
      </c>
      <c r="F186" s="147">
        <f t="shared" si="15"/>
        <v>-7.032908777859781E-5</v>
      </c>
    </row>
    <row r="187" spans="2:6">
      <c r="B187" s="148">
        <v>184</v>
      </c>
      <c r="C187" s="11">
        <f t="shared" si="18"/>
        <v>61.8</v>
      </c>
      <c r="D187" s="146">
        <f t="shared" si="13"/>
        <v>61.808386329545641</v>
      </c>
      <c r="E187" s="146">
        <f t="shared" si="14"/>
        <v>-8.3863295456438891E-3</v>
      </c>
      <c r="F187" s="147">
        <f t="shared" si="15"/>
        <v>-1.3568271303721069E-4</v>
      </c>
    </row>
    <row r="188" spans="2:6">
      <c r="B188" s="148">
        <v>185</v>
      </c>
      <c r="C188" s="11">
        <f t="shared" si="18"/>
        <v>62</v>
      </c>
      <c r="D188" s="146">
        <f t="shared" si="13"/>
        <v>62.012206562791825</v>
      </c>
      <c r="E188" s="146">
        <f t="shared" si="14"/>
        <v>-1.2206562791824638E-2</v>
      </c>
      <c r="F188" s="147">
        <f t="shared" si="15"/>
        <v>-1.9684129090724589E-4</v>
      </c>
    </row>
    <row r="189" spans="2:6">
      <c r="B189" s="148">
        <v>186</v>
      </c>
      <c r="C189" s="11">
        <f t="shared" si="18"/>
        <v>62.2</v>
      </c>
      <c r="D189" s="146">
        <f t="shared" si="13"/>
        <v>62.215792195657755</v>
      </c>
      <c r="E189" s="146">
        <f t="shared" si="14"/>
        <v>-1.5792195657752472E-2</v>
      </c>
      <c r="F189" s="147">
        <f t="shared" si="15"/>
        <v>-2.5382937515427972E-4</v>
      </c>
    </row>
    <row r="190" spans="2:6">
      <c r="B190" s="148">
        <v>187</v>
      </c>
      <c r="C190" s="11">
        <f t="shared" si="18"/>
        <v>62.4</v>
      </c>
      <c r="D190" s="146">
        <f t="shared" si="13"/>
        <v>62.419142122054708</v>
      </c>
      <c r="E190" s="146">
        <f t="shared" si="14"/>
        <v>-1.9142122054709887E-2</v>
      </c>
      <c r="F190" s="147">
        <f t="shared" si="15"/>
        <v>-3.0667070074885672E-4</v>
      </c>
    </row>
    <row r="191" spans="2:6">
      <c r="B191" s="148">
        <v>188</v>
      </c>
      <c r="C191" s="11">
        <f t="shared" si="18"/>
        <v>62.6</v>
      </c>
      <c r="D191" s="146">
        <f t="shared" si="13"/>
        <v>62.622255239539435</v>
      </c>
      <c r="E191" s="146">
        <f t="shared" si="14"/>
        <v>-2.2255239539433092E-2</v>
      </c>
      <c r="F191" s="147">
        <f t="shared" si="15"/>
        <v>-3.5538866261364266E-4</v>
      </c>
    </row>
    <row r="192" spans="2:6">
      <c r="B192" s="148">
        <v>189</v>
      </c>
      <c r="C192" s="11">
        <f t="shared" si="18"/>
        <v>62.8</v>
      </c>
      <c r="D192" s="146">
        <f t="shared" si="13"/>
        <v>62.825130479334909</v>
      </c>
      <c r="E192" s="146">
        <f t="shared" si="14"/>
        <v>-2.5130479334912081E-2</v>
      </c>
      <c r="F192" s="147">
        <f t="shared" si="15"/>
        <v>-4.0000679892226998E-4</v>
      </c>
    </row>
    <row r="193" spans="2:6">
      <c r="B193" s="148">
        <v>190</v>
      </c>
      <c r="C193" s="11">
        <f t="shared" si="18"/>
        <v>63</v>
      </c>
      <c r="D193" s="146">
        <f t="shared" si="13"/>
        <v>63.027766837230843</v>
      </c>
      <c r="E193" s="146">
        <f t="shared" si="14"/>
        <v>-2.7766837230842611E-2</v>
      </c>
      <c r="F193" s="147">
        <f t="shared" si="15"/>
        <v>-4.4054927890035955E-4</v>
      </c>
    </row>
    <row r="194" spans="2:6">
      <c r="B194" s="148">
        <v>191</v>
      </c>
      <c r="C194" s="11">
        <f t="shared" si="18"/>
        <v>63.2</v>
      </c>
      <c r="D194" s="146">
        <f t="shared" si="13"/>
        <v>63.230163405364863</v>
      </c>
      <c r="E194" s="146">
        <f t="shared" si="14"/>
        <v>-3.0163405364859841E-2</v>
      </c>
      <c r="F194" s="147">
        <f t="shared" si="15"/>
        <v>-4.770413951247221E-4</v>
      </c>
    </row>
    <row r="195" spans="2:6">
      <c r="B195" s="148">
        <v>192</v>
      </c>
      <c r="C195" s="11">
        <f t="shared" si="18"/>
        <v>63.4</v>
      </c>
      <c r="D195" s="146">
        <f t="shared" si="13"/>
        <v>63.432319404883778</v>
      </c>
      <c r="E195" s="146">
        <f t="shared" si="14"/>
        <v>-3.2319404883779157E-2</v>
      </c>
      <c r="F195" s="147">
        <f t="shared" si="15"/>
        <v>-5.0951006028154833E-4</v>
      </c>
    </row>
    <row r="196" spans="2:6">
      <c r="B196" s="148">
        <v>193</v>
      </c>
      <c r="C196" s="11">
        <f t="shared" si="18"/>
        <v>63.6</v>
      </c>
      <c r="D196" s="146">
        <f t="shared" ref="D196:D259" si="19">IF(B196=0,0,IF(B196&lt;30,($O$28*B196^6)+($O$29*B196^5)+($O$30*B196^4)+($O$31*B196^3)+($O$32*B196^2)+($O$33*B196)+$O$34,IF(B196&lt;250,($O$19*B196^6)+($O$20*B196^5)+($O$21*B196^4)+($O$22*B196^3)+($O$23*B196^2)+($O$24*B196)+$O$25,IF(B196&lt;1000,($O$10*B196^6)+($O$11*B196^5)+($O$12*B196^4)+($O$13*B196^3)+($O$14*B196^2)+($O$15*B196)+$O$16,IF(B196&lt;9000,(0.8759882+1.259865*(B196/1000)-0.02582505*(B196/1000)^2+0.0008687869*(B196/1000)^3-0.0000101455*(B196/1000)^4)*100,(0.095*B196)+205)))))</f>
        <v>63.634234219484668</v>
      </c>
      <c r="E196" s="146">
        <f t="shared" ref="E196:E259" si="20">C196-D196</f>
        <v>-3.4234219484666539E-2</v>
      </c>
      <c r="F196" s="147">
        <f t="shared" ref="F196:F259" si="21">C196/D196-1</f>
        <v>-5.3798430836127231E-4</v>
      </c>
    </row>
    <row r="197" spans="2:6">
      <c r="B197" s="148">
        <v>194</v>
      </c>
      <c r="C197" s="11">
        <f t="shared" si="18"/>
        <v>63.8</v>
      </c>
      <c r="D197" s="146">
        <f t="shared" si="19"/>
        <v>63.83590742983715</v>
      </c>
      <c r="E197" s="146">
        <f t="shared" si="20"/>
        <v>-3.5907429837152449E-2</v>
      </c>
      <c r="F197" s="147">
        <f t="shared" si="21"/>
        <v>-5.6249580029266166E-4</v>
      </c>
    </row>
    <row r="198" spans="2:6">
      <c r="B198" s="148">
        <v>195</v>
      </c>
      <c r="C198" s="11">
        <f t="shared" si="18"/>
        <v>64</v>
      </c>
      <c r="D198" s="146">
        <f t="shared" si="19"/>
        <v>64.037338848884389</v>
      </c>
      <c r="E198" s="146">
        <f t="shared" si="20"/>
        <v>-3.7338848884388653E-2</v>
      </c>
      <c r="F198" s="147">
        <f t="shared" si="21"/>
        <v>-5.8307933395707057E-4</v>
      </c>
    </row>
    <row r="199" spans="2:6">
      <c r="B199" s="148">
        <v>196</v>
      </c>
      <c r="C199" s="11">
        <f t="shared" si="18"/>
        <v>64.2</v>
      </c>
      <c r="D199" s="146">
        <f t="shared" si="19"/>
        <v>64.238528558026559</v>
      </c>
      <c r="E199" s="146">
        <f t="shared" si="20"/>
        <v>-3.852855802655597E-2</v>
      </c>
      <c r="F199" s="147">
        <f t="shared" si="21"/>
        <v>-5.9977335862781977E-4</v>
      </c>
    </row>
    <row r="200" spans="2:6">
      <c r="B200" s="148">
        <v>197</v>
      </c>
      <c r="C200" s="11">
        <f t="shared" si="18"/>
        <v>64.400000000000006</v>
      </c>
      <c r="D200" s="146">
        <f t="shared" si="19"/>
        <v>64.439476944181564</v>
      </c>
      <c r="E200" s="146">
        <f t="shared" si="20"/>
        <v>-3.9476944181558338E-2</v>
      </c>
      <c r="F200" s="147">
        <f t="shared" si="21"/>
        <v>-6.1262049373478344E-4</v>
      </c>
    </row>
    <row r="201" spans="2:6">
      <c r="B201" s="148">
        <v>198</v>
      </c>
      <c r="C201" s="11">
        <f t="shared" si="18"/>
        <v>64.599999999999994</v>
      </c>
      <c r="D201" s="146">
        <f t="shared" si="19"/>
        <v>64.640184737729044</v>
      </c>
      <c r="E201" s="146">
        <f t="shared" si="20"/>
        <v>-4.0184737729049402E-2</v>
      </c>
      <c r="F201" s="147">
        <f t="shared" si="21"/>
        <v>-6.2166805203445197E-4</v>
      </c>
    </row>
    <row r="202" spans="2:6">
      <c r="B202" s="148">
        <v>199</v>
      </c>
      <c r="C202" s="11">
        <f t="shared" si="18"/>
        <v>64.8</v>
      </c>
      <c r="D202" s="146">
        <f t="shared" si="19"/>
        <v>64.840653051332055</v>
      </c>
      <c r="E202" s="146">
        <f t="shared" si="20"/>
        <v>-4.0653051332057544E-2</v>
      </c>
      <c r="F202" s="147">
        <f t="shared" si="21"/>
        <v>-6.2696856707900039E-4</v>
      </c>
    </row>
    <row r="203" spans="2:6">
      <c r="B203" s="145">
        <v>200</v>
      </c>
      <c r="C203" s="10">
        <v>65</v>
      </c>
      <c r="D203" s="146">
        <f t="shared" si="19"/>
        <v>65.040883419641048</v>
      </c>
      <c r="E203" s="146">
        <f t="shared" si="20"/>
        <v>-4.0883419641048135E-2</v>
      </c>
      <c r="F203" s="147">
        <f t="shared" si="21"/>
        <v>-6.2858032504375938E-4</v>
      </c>
    </row>
    <row r="204" spans="2:6">
      <c r="B204" s="148">
        <v>201</v>
      </c>
      <c r="C204" s="11">
        <f t="shared" ref="C204:C227" si="22">C$228-(B$228-B204)*((C$228-C$203)/(B$228-B$203))</f>
        <v>65.2</v>
      </c>
      <c r="D204" s="146">
        <f t="shared" si="19"/>
        <v>65.240877839876632</v>
      </c>
      <c r="E204" s="146">
        <f t="shared" si="20"/>
        <v>-4.0877839876628741E-2</v>
      </c>
      <c r="F204" s="147">
        <f t="shared" si="21"/>
        <v>-6.2656790083293057E-4</v>
      </c>
    </row>
    <row r="205" spans="2:6">
      <c r="B205" s="148">
        <v>202</v>
      </c>
      <c r="C205" s="11">
        <f t="shared" si="22"/>
        <v>65.400000000000006</v>
      </c>
      <c r="D205" s="146">
        <f t="shared" si="19"/>
        <v>65.440638813292423</v>
      </c>
      <c r="E205" s="146">
        <f t="shared" si="20"/>
        <v>-4.0638813292417808E-2</v>
      </c>
      <c r="F205" s="147">
        <f t="shared" si="21"/>
        <v>-6.2100269846632195E-4</v>
      </c>
    </row>
    <row r="206" spans="2:6">
      <c r="B206" s="148">
        <v>203</v>
      </c>
      <c r="C206" s="11">
        <f t="shared" si="22"/>
        <v>65.599999999999994</v>
      </c>
      <c r="D206" s="146">
        <f t="shared" si="19"/>
        <v>65.640169387520416</v>
      </c>
      <c r="E206" s="146">
        <f t="shared" si="20"/>
        <v>-4.0169387520421651E-2</v>
      </c>
      <c r="F206" s="147">
        <f t="shared" si="21"/>
        <v>-6.1196349575631803E-4</v>
      </c>
    </row>
    <row r="207" spans="2:6">
      <c r="B207" s="148">
        <v>204</v>
      </c>
      <c r="C207" s="11">
        <f t="shared" si="22"/>
        <v>65.8</v>
      </c>
      <c r="D207" s="146">
        <f t="shared" si="19"/>
        <v>65.839473199793048</v>
      </c>
      <c r="E207" s="146">
        <f t="shared" si="20"/>
        <v>-3.947319979305064E-2</v>
      </c>
      <c r="F207" s="147">
        <f t="shared" si="21"/>
        <v>-5.9953699315407061E-4</v>
      </c>
    </row>
    <row r="208" spans="2:6">
      <c r="B208" s="148">
        <v>205</v>
      </c>
      <c r="C208" s="11">
        <f t="shared" si="22"/>
        <v>66</v>
      </c>
      <c r="D208" s="146">
        <f t="shared" si="19"/>
        <v>66.038554521048894</v>
      </c>
      <c r="E208" s="146">
        <f t="shared" si="20"/>
        <v>-3.855452104889423E-2</v>
      </c>
      <c r="F208" s="147">
        <f t="shared" si="21"/>
        <v>-5.8381836683907284E-4</v>
      </c>
    </row>
    <row r="209" spans="2:6">
      <c r="B209" s="148">
        <v>206</v>
      </c>
      <c r="C209" s="11">
        <f t="shared" si="22"/>
        <v>66.2</v>
      </c>
      <c r="D209" s="146">
        <f t="shared" si="19"/>
        <v>66.237418300915948</v>
      </c>
      <c r="E209" s="146">
        <f t="shared" si="20"/>
        <v>-3.7418300915945224E-2</v>
      </c>
      <c r="F209" s="147">
        <f t="shared" si="21"/>
        <v>-5.6491182591011935E-4</v>
      </c>
    </row>
    <row r="210" spans="2:6">
      <c r="B210" s="148">
        <v>207</v>
      </c>
      <c r="C210" s="11">
        <f t="shared" si="22"/>
        <v>66.400000000000006</v>
      </c>
      <c r="D210" s="146">
        <f t="shared" si="19"/>
        <v>66.436070213576656</v>
      </c>
      <c r="E210" s="146">
        <f t="shared" si="20"/>
        <v>-3.607021357665019E-2</v>
      </c>
      <c r="F210" s="147">
        <f t="shared" si="21"/>
        <v>-5.429311736936393E-4</v>
      </c>
    </row>
    <row r="211" spans="2:6">
      <c r="B211" s="148">
        <v>208</v>
      </c>
      <c r="C211" s="11">
        <f t="shared" si="22"/>
        <v>66.599999999999994</v>
      </c>
      <c r="D211" s="146">
        <f t="shared" si="19"/>
        <v>66.634516704512734</v>
      </c>
      <c r="E211" s="146">
        <f t="shared" si="20"/>
        <v>-3.4516704512739693E-2</v>
      </c>
      <c r="F211" s="147">
        <f t="shared" si="21"/>
        <v>-5.1800037307692115E-4</v>
      </c>
    </row>
    <row r="212" spans="2:6">
      <c r="B212" s="148">
        <v>209</v>
      </c>
      <c r="C212" s="11">
        <f t="shared" si="22"/>
        <v>66.8</v>
      </c>
      <c r="D212" s="146">
        <f t="shared" si="19"/>
        <v>66.832765038130674</v>
      </c>
      <c r="E212" s="146">
        <f t="shared" si="20"/>
        <v>-3.2765038130676771E-2</v>
      </c>
      <c r="F212" s="147">
        <f t="shared" si="21"/>
        <v>-4.9025411580660982E-4</v>
      </c>
    </row>
    <row r="213" spans="2:6">
      <c r="B213" s="148">
        <v>210</v>
      </c>
      <c r="C213" s="11">
        <f t="shared" si="22"/>
        <v>67</v>
      </c>
      <c r="D213" s="146">
        <f t="shared" si="19"/>
        <v>67.030823346265947</v>
      </c>
      <c r="E213" s="146">
        <f t="shared" si="20"/>
        <v>-3.0823346265947293E-2</v>
      </c>
      <c r="F213" s="147">
        <f t="shared" si="21"/>
        <v>-4.5983839563956685E-4</v>
      </c>
    </row>
    <row r="214" spans="2:6">
      <c r="B214" s="148">
        <v>211</v>
      </c>
      <c r="C214" s="11">
        <f t="shared" si="22"/>
        <v>67.2</v>
      </c>
      <c r="D214" s="146">
        <f t="shared" si="19"/>
        <v>67.228700677569407</v>
      </c>
      <c r="E214" s="146">
        <f t="shared" si="20"/>
        <v>-2.8700677569403865E-2</v>
      </c>
      <c r="F214" s="147">
        <f t="shared" si="21"/>
        <v>-4.269110852975766E-4</v>
      </c>
    </row>
    <row r="215" spans="2:6">
      <c r="B215" s="148">
        <v>212</v>
      </c>
      <c r="C215" s="11">
        <f t="shared" si="22"/>
        <v>67.400000000000006</v>
      </c>
      <c r="D215" s="146">
        <f t="shared" si="19"/>
        <v>67.426407047773012</v>
      </c>
      <c r="E215" s="146">
        <f t="shared" si="20"/>
        <v>-2.6407047773005843E-2</v>
      </c>
      <c r="F215" s="147">
        <f t="shared" si="21"/>
        <v>-3.9164251706746978E-4</v>
      </c>
    </row>
    <row r="216" spans="2:6">
      <c r="B216" s="148">
        <v>213</v>
      </c>
      <c r="C216" s="11">
        <f t="shared" si="22"/>
        <v>67.599999999999994</v>
      </c>
      <c r="D216" s="146">
        <f t="shared" si="19"/>
        <v>67.623953490835163</v>
      </c>
      <c r="E216" s="146">
        <f t="shared" si="20"/>
        <v>-2.3953490835168623E-2</v>
      </c>
      <c r="F216" s="147">
        <f t="shared" si="21"/>
        <v>-3.5421606692098706E-4</v>
      </c>
    </row>
    <row r="217" spans="2:6">
      <c r="B217" s="148">
        <v>214</v>
      </c>
      <c r="C217" s="11">
        <f t="shared" si="22"/>
        <v>67.8</v>
      </c>
      <c r="D217" s="146">
        <f t="shared" si="19"/>
        <v>67.821352110967453</v>
      </c>
      <c r="E217" s="146">
        <f t="shared" si="20"/>
        <v>-2.1352110967455928E-2</v>
      </c>
      <c r="F217" s="147">
        <f t="shared" si="21"/>
        <v>-3.1482874202393152E-4</v>
      </c>
    </row>
    <row r="218" spans="2:6">
      <c r="B218" s="148">
        <v>215</v>
      </c>
      <c r="C218" s="11">
        <f t="shared" si="22"/>
        <v>68</v>
      </c>
      <c r="D218" s="146">
        <f t="shared" si="19"/>
        <v>68.018616135540768</v>
      </c>
      <c r="E218" s="146">
        <f t="shared" si="20"/>
        <v>-1.8616135540767687E-2</v>
      </c>
      <c r="F218" s="147">
        <f t="shared" si="21"/>
        <v>-2.7369177143610202E-4</v>
      </c>
    </row>
    <row r="219" spans="2:6">
      <c r="B219" s="148">
        <v>216</v>
      </c>
      <c r="C219" s="11">
        <f t="shared" si="22"/>
        <v>68.2</v>
      </c>
      <c r="D219" s="146">
        <f t="shared" si="19"/>
        <v>68.215759968872277</v>
      </c>
      <c r="E219" s="146">
        <f t="shared" si="20"/>
        <v>-1.5759968872274044E-2</v>
      </c>
      <c r="F219" s="147">
        <f t="shared" si="21"/>
        <v>-2.3103119982048614E-4</v>
      </c>
    </row>
    <row r="220" spans="2:6">
      <c r="B220" s="148">
        <v>217</v>
      </c>
      <c r="C220" s="11">
        <f t="shared" si="22"/>
        <v>68.400000000000006</v>
      </c>
      <c r="D220" s="146">
        <f t="shared" si="19"/>
        <v>68.412799246891751</v>
      </c>
      <c r="E220" s="146">
        <f t="shared" si="20"/>
        <v>-1.2799246891745497E-2</v>
      </c>
      <c r="F220" s="147">
        <f t="shared" si="21"/>
        <v>-1.8708848391879584E-4</v>
      </c>
    </row>
    <row r="221" spans="2:6">
      <c r="B221" s="148">
        <v>218</v>
      </c>
      <c r="C221" s="11">
        <f t="shared" si="22"/>
        <v>68.599999999999994</v>
      </c>
      <c r="D221" s="146">
        <f t="shared" si="19"/>
        <v>68.609750892689277</v>
      </c>
      <c r="E221" s="146">
        <f t="shared" si="20"/>
        <v>-9.750892689282864E-3</v>
      </c>
      <c r="F221" s="147">
        <f t="shared" si="21"/>
        <v>-1.4212109157096808E-4</v>
      </c>
    </row>
    <row r="222" spans="2:6">
      <c r="B222" s="148">
        <v>219</v>
      </c>
      <c r="C222" s="11">
        <f t="shared" si="22"/>
        <v>68.8</v>
      </c>
      <c r="D222" s="146">
        <f t="shared" si="19"/>
        <v>68.806633172942242</v>
      </c>
      <c r="E222" s="146">
        <f t="shared" si="20"/>
        <v>-6.6331729422444141E-3</v>
      </c>
      <c r="F222" s="147">
        <f t="shared" si="21"/>
        <v>-9.6403102962105969E-5</v>
      </c>
    </row>
    <row r="223" spans="2:6">
      <c r="B223" s="148">
        <v>220</v>
      </c>
      <c r="C223" s="11">
        <f t="shared" si="22"/>
        <v>69</v>
      </c>
      <c r="D223" s="146">
        <f t="shared" si="19"/>
        <v>69.00346575522272</v>
      </c>
      <c r="E223" s="146">
        <f t="shared" si="20"/>
        <v>-3.4657552227201904E-3</v>
      </c>
      <c r="F223" s="147">
        <f t="shared" si="21"/>
        <v>-5.022581380209612E-5</v>
      </c>
    </row>
    <row r="224" spans="2:6">
      <c r="B224" s="148">
        <v>221</v>
      </c>
      <c r="C224" s="11">
        <f t="shared" si="22"/>
        <v>69.2</v>
      </c>
      <c r="D224" s="146">
        <f t="shared" si="19"/>
        <v>69.200269766185315</v>
      </c>
      <c r="E224" s="146">
        <f t="shared" si="20"/>
        <v>-2.6976618531193708E-4</v>
      </c>
      <c r="F224" s="147">
        <f t="shared" si="21"/>
        <v>-3.8983400819647684E-6</v>
      </c>
    </row>
    <row r="225" spans="2:6">
      <c r="B225" s="148">
        <v>222</v>
      </c>
      <c r="C225" s="11">
        <f t="shared" si="22"/>
        <v>69.400000000000006</v>
      </c>
      <c r="D225" s="146">
        <f t="shared" si="19"/>
        <v>69.397067850635707</v>
      </c>
      <c r="E225" s="146">
        <f t="shared" si="20"/>
        <v>2.9321493642981977E-3</v>
      </c>
      <c r="F225" s="147">
        <f t="shared" si="21"/>
        <v>4.2251775977275585E-5</v>
      </c>
    </row>
    <row r="226" spans="2:6">
      <c r="B226" s="148">
        <v>223</v>
      </c>
      <c r="C226" s="11">
        <f t="shared" si="22"/>
        <v>69.599999999999994</v>
      </c>
      <c r="D226" s="146">
        <f t="shared" si="19"/>
        <v>69.593884231478285</v>
      </c>
      <c r="E226" s="146">
        <f t="shared" si="20"/>
        <v>6.1157685217096969E-3</v>
      </c>
      <c r="F226" s="147">
        <f t="shared" si="21"/>
        <v>8.7877959237925296E-5</v>
      </c>
    </row>
    <row r="227" spans="2:6">
      <c r="B227" s="148">
        <v>224</v>
      </c>
      <c r="C227" s="11">
        <f t="shared" si="22"/>
        <v>69.8</v>
      </c>
      <c r="D227" s="146">
        <f t="shared" si="19"/>
        <v>69.790744770544222</v>
      </c>
      <c r="E227" s="146">
        <f t="shared" si="20"/>
        <v>9.2552294557748382E-3</v>
      </c>
      <c r="F227" s="147">
        <f t="shared" si="21"/>
        <v>1.3261399468089685E-4</v>
      </c>
    </row>
    <row r="228" spans="2:6">
      <c r="B228" s="145">
        <v>225</v>
      </c>
      <c r="C228" s="10">
        <v>70</v>
      </c>
      <c r="D228" s="146">
        <f t="shared" si="19"/>
        <v>69.987677030301541</v>
      </c>
      <c r="E228" s="146">
        <f t="shared" si="20"/>
        <v>1.2322969698459474E-2</v>
      </c>
      <c r="F228" s="147">
        <f t="shared" si="21"/>
        <v>1.7607342065550924E-4</v>
      </c>
    </row>
    <row r="229" spans="2:6">
      <c r="B229" s="148">
        <v>226</v>
      </c>
      <c r="C229" s="11">
        <f t="shared" ref="C229:C252" si="23">C$253-(B$253-B229)*((C$253-C$228)/(B$253-B$228))</f>
        <v>70.2</v>
      </c>
      <c r="D229" s="146">
        <f t="shared" si="19"/>
        <v>70.184710336442208</v>
      </c>
      <c r="E229" s="146">
        <f t="shared" si="20"/>
        <v>1.5289663557794597E-2</v>
      </c>
      <c r="F229" s="147">
        <f t="shared" si="21"/>
        <v>2.1784892299914205E-4</v>
      </c>
    </row>
    <row r="230" spans="2:6">
      <c r="B230" s="148">
        <v>227</v>
      </c>
      <c r="C230" s="11">
        <f t="shared" si="23"/>
        <v>70.400000000000006</v>
      </c>
      <c r="D230" s="146">
        <f t="shared" si="19"/>
        <v>70.381875841353065</v>
      </c>
      <c r="E230" s="146">
        <f t="shared" si="20"/>
        <v>1.8124158646941169E-2</v>
      </c>
      <c r="F230" s="147">
        <f t="shared" si="21"/>
        <v>2.5751173054544552E-4</v>
      </c>
    </row>
    <row r="231" spans="2:6">
      <c r="B231" s="148">
        <v>228</v>
      </c>
      <c r="C231" s="11">
        <f t="shared" si="23"/>
        <v>70.599999999999994</v>
      </c>
      <c r="D231" s="146">
        <f t="shared" si="19"/>
        <v>70.579206588463833</v>
      </c>
      <c r="E231" s="146">
        <f t="shared" si="20"/>
        <v>2.0793411536160988E-2</v>
      </c>
      <c r="F231" s="147">
        <f t="shared" si="21"/>
        <v>2.9461101280725543E-4</v>
      </c>
    </row>
    <row r="232" spans="2:6">
      <c r="B232" s="148">
        <v>229</v>
      </c>
      <c r="C232" s="11">
        <f t="shared" si="23"/>
        <v>70.8</v>
      </c>
      <c r="D232" s="146">
        <f t="shared" si="19"/>
        <v>70.776737577476936</v>
      </c>
      <c r="E232" s="146">
        <f t="shared" si="20"/>
        <v>2.3262422523060877E-2</v>
      </c>
      <c r="F232" s="147">
        <f t="shared" si="21"/>
        <v>3.2867328050545375E-4</v>
      </c>
    </row>
    <row r="233" spans="2:6">
      <c r="B233" s="148">
        <v>230</v>
      </c>
      <c r="C233" s="11">
        <f t="shared" si="23"/>
        <v>71</v>
      </c>
      <c r="D233" s="146">
        <f t="shared" si="19"/>
        <v>70.97450583047808</v>
      </c>
      <c r="E233" s="146">
        <f t="shared" si="20"/>
        <v>2.5494169521920185E-2</v>
      </c>
      <c r="F233" s="147">
        <f t="shared" si="21"/>
        <v>3.5920178976400763E-4</v>
      </c>
    </row>
    <row r="234" spans="2:6">
      <c r="B234" s="148">
        <v>231</v>
      </c>
      <c r="C234" s="11">
        <f t="shared" si="23"/>
        <v>71.2</v>
      </c>
      <c r="D234" s="146">
        <f t="shared" si="19"/>
        <v>71.172550458924974</v>
      </c>
      <c r="E234" s="146">
        <f t="shared" si="20"/>
        <v>2.744954107502906E-2</v>
      </c>
      <c r="F234" s="147">
        <f t="shared" si="21"/>
        <v>3.8567595088312423E-4</v>
      </c>
    </row>
    <row r="235" spans="2:6">
      <c r="B235" s="148">
        <v>232</v>
      </c>
      <c r="C235" s="11">
        <f t="shared" si="23"/>
        <v>71.400000000000006</v>
      </c>
      <c r="D235" s="146">
        <f t="shared" si="19"/>
        <v>71.370912731519098</v>
      </c>
      <c r="E235" s="146">
        <f t="shared" si="20"/>
        <v>2.9087268480907369E-2</v>
      </c>
      <c r="F235" s="147">
        <f t="shared" si="21"/>
        <v>4.0755074255982571E-4</v>
      </c>
    </row>
    <row r="236" spans="2:6">
      <c r="B236" s="148">
        <v>233</v>
      </c>
      <c r="C236" s="11">
        <f t="shared" si="23"/>
        <v>71.599999999999994</v>
      </c>
      <c r="D236" s="146">
        <f t="shared" si="19"/>
        <v>71.569636142955204</v>
      </c>
      <c r="E236" s="146">
        <f t="shared" si="20"/>
        <v>3.0363857044790166E-2</v>
      </c>
      <c r="F236" s="147">
        <f t="shared" si="21"/>
        <v>4.2425613264462925E-4</v>
      </c>
    </row>
    <row r="237" spans="2:6">
      <c r="B237" s="148">
        <v>234</v>
      </c>
      <c r="C237" s="11">
        <f t="shared" si="23"/>
        <v>71.8</v>
      </c>
      <c r="D237" s="146">
        <f t="shared" si="19"/>
        <v>71.768766483551559</v>
      </c>
      <c r="E237" s="146">
        <f t="shared" si="20"/>
        <v>3.1233516448438081E-2</v>
      </c>
      <c r="F237" s="147">
        <f t="shared" si="21"/>
        <v>4.3519650648571329E-4</v>
      </c>
    </row>
    <row r="238" spans="2:6">
      <c r="B238" s="148">
        <v>235</v>
      </c>
      <c r="C238" s="11">
        <f t="shared" si="23"/>
        <v>72</v>
      </c>
      <c r="D238" s="146">
        <f t="shared" si="19"/>
        <v>71.968351909762802</v>
      </c>
      <c r="E238" s="146">
        <f t="shared" si="20"/>
        <v>3.1648090237197835E-2</v>
      </c>
      <c r="F238" s="147">
        <f t="shared" si="21"/>
        <v>4.3975010400232328E-4</v>
      </c>
    </row>
    <row r="239" spans="2:6">
      <c r="B239" s="148">
        <v>236</v>
      </c>
      <c r="C239" s="11">
        <f t="shared" si="23"/>
        <v>72.2</v>
      </c>
      <c r="D239" s="146">
        <f t="shared" si="19"/>
        <v>72.168443015568513</v>
      </c>
      <c r="E239" s="146">
        <f t="shared" si="20"/>
        <v>3.1556984431489354E-2</v>
      </c>
      <c r="F239" s="147">
        <f t="shared" si="21"/>
        <v>4.3726846683789233E-4</v>
      </c>
    </row>
    <row r="240" spans="2:6">
      <c r="B240" s="148">
        <v>237</v>
      </c>
      <c r="C240" s="11">
        <f t="shared" si="23"/>
        <v>72.400000000000006</v>
      </c>
      <c r="D240" s="146">
        <f t="shared" si="19"/>
        <v>72.369092904746935</v>
      </c>
      <c r="E240" s="146">
        <f t="shared" si="20"/>
        <v>3.0907095253070338E-2</v>
      </c>
      <c r="F240" s="147">
        <f t="shared" si="21"/>
        <v>4.2707589680235358E-4</v>
      </c>
    </row>
    <row r="241" spans="2:6">
      <c r="B241" s="148">
        <v>238</v>
      </c>
      <c r="C241" s="11">
        <f t="shared" si="23"/>
        <v>72.599999999999994</v>
      </c>
      <c r="D241" s="146">
        <f t="shared" si="19"/>
        <v>72.57035726402512</v>
      </c>
      <c r="E241" s="146">
        <f t="shared" si="20"/>
        <v>2.9642735974874768E-2</v>
      </c>
      <c r="F241" s="147">
        <f t="shared" si="21"/>
        <v>4.0846892715484806E-4</v>
      </c>
    </row>
    <row r="242" spans="2:6">
      <c r="B242" s="148">
        <v>239</v>
      </c>
      <c r="C242" s="11">
        <f t="shared" si="23"/>
        <v>72.8</v>
      </c>
      <c r="D242" s="146">
        <f t="shared" si="19"/>
        <v>72.772294437110986</v>
      </c>
      <c r="E242" s="146">
        <f t="shared" si="20"/>
        <v>2.7705562889011048E-2</v>
      </c>
      <c r="F242" s="147">
        <f t="shared" si="21"/>
        <v>3.8071580817011785E-4</v>
      </c>
    </row>
    <row r="243" spans="2:6">
      <c r="B243" s="148">
        <v>240</v>
      </c>
      <c r="C243" s="11">
        <f t="shared" si="23"/>
        <v>73</v>
      </c>
      <c r="D243" s="146">
        <f t="shared" si="19"/>
        <v>72.974965499606299</v>
      </c>
      <c r="E243" s="146">
        <f t="shared" si="20"/>
        <v>2.5034500393701364E-2</v>
      </c>
      <c r="F243" s="147">
        <f t="shared" si="21"/>
        <v>3.4305600862305496E-4</v>
      </c>
    </row>
    <row r="244" spans="2:6">
      <c r="B244" s="148">
        <v>241</v>
      </c>
      <c r="C244" s="11">
        <f t="shared" si="23"/>
        <v>73.2</v>
      </c>
      <c r="D244" s="146">
        <f t="shared" si="19"/>
        <v>73.178434334797728</v>
      </c>
      <c r="E244" s="146">
        <f t="shared" si="20"/>
        <v>2.1565665202274431E-2</v>
      </c>
      <c r="F244" s="147">
        <f t="shared" si="21"/>
        <v>2.9469973494666846E-4</v>
      </c>
    </row>
    <row r="245" spans="2:6">
      <c r="B245" s="148">
        <v>242</v>
      </c>
      <c r="C245" s="11">
        <f t="shared" si="23"/>
        <v>73.400000000000006</v>
      </c>
      <c r="D245" s="146">
        <f t="shared" si="19"/>
        <v>73.382767710329873</v>
      </c>
      <c r="E245" s="146">
        <f t="shared" si="20"/>
        <v>1.7232289670133127E-2</v>
      </c>
      <c r="F245" s="147">
        <f t="shared" si="21"/>
        <v>2.3482746982450564E-4</v>
      </c>
    </row>
    <row r="246" spans="2:6">
      <c r="B246" s="148">
        <v>243</v>
      </c>
      <c r="C246" s="11">
        <f t="shared" si="23"/>
        <v>73.599999999999994</v>
      </c>
      <c r="D246" s="146">
        <f t="shared" si="19"/>
        <v>73.588035355758691</v>
      </c>
      <c r="E246" s="146">
        <f t="shared" si="20"/>
        <v>1.1964644241302835E-2</v>
      </c>
      <c r="F246" s="147">
        <f t="shared" si="21"/>
        <v>1.6258953216330418E-4</v>
      </c>
    </row>
    <row r="247" spans="2:6">
      <c r="B247" s="148">
        <v>244</v>
      </c>
      <c r="C247" s="11">
        <f t="shared" si="23"/>
        <v>73.8</v>
      </c>
      <c r="D247" s="146">
        <f t="shared" si="19"/>
        <v>73.794310040982765</v>
      </c>
      <c r="E247" s="146">
        <f t="shared" si="20"/>
        <v>5.6899590172321268E-3</v>
      </c>
      <c r="F247" s="147">
        <f t="shared" si="21"/>
        <v>7.7105660505116802E-5</v>
      </c>
    </row>
    <row r="248" spans="2:6">
      <c r="B248" s="148">
        <v>245</v>
      </c>
      <c r="C248" s="11">
        <f t="shared" si="23"/>
        <v>74</v>
      </c>
      <c r="D248" s="146">
        <f t="shared" si="19"/>
        <v>74.001667655558521</v>
      </c>
      <c r="E248" s="146">
        <f t="shared" si="20"/>
        <v>-1.6676555585206643E-3</v>
      </c>
      <c r="F248" s="147">
        <f t="shared" si="21"/>
        <v>-2.2535378071286694E-5</v>
      </c>
    </row>
    <row r="249" spans="2:6">
      <c r="B249" s="148">
        <v>246</v>
      </c>
      <c r="C249" s="11">
        <f t="shared" si="23"/>
        <v>74.2</v>
      </c>
      <c r="D249" s="146">
        <f t="shared" si="19"/>
        <v>74.210187288891717</v>
      </c>
      <c r="E249" s="146">
        <f t="shared" si="20"/>
        <v>-1.0187288891714275E-2</v>
      </c>
      <c r="F249" s="147">
        <f t="shared" si="21"/>
        <v>-1.3727615121161829E-4</v>
      </c>
    </row>
    <row r="250" spans="2:6">
      <c r="B250" s="148">
        <v>247</v>
      </c>
      <c r="C250" s="11">
        <f t="shared" si="23"/>
        <v>74.400000000000006</v>
      </c>
      <c r="D250" s="146">
        <f t="shared" si="19"/>
        <v>74.419951311312758</v>
      </c>
      <c r="E250" s="146">
        <f t="shared" si="20"/>
        <v>-1.9951311312752296E-2</v>
      </c>
      <c r="F250" s="147">
        <f t="shared" si="21"/>
        <v>-2.6809089446044876E-4</v>
      </c>
    </row>
    <row r="251" spans="2:6">
      <c r="B251" s="148">
        <v>248</v>
      </c>
      <c r="C251" s="11">
        <f t="shared" si="23"/>
        <v>74.599999999999994</v>
      </c>
      <c r="D251" s="146">
        <f t="shared" si="19"/>
        <v>74.631045456029526</v>
      </c>
      <c r="E251" s="146">
        <f t="shared" si="20"/>
        <v>-3.1045456029531238E-2</v>
      </c>
      <c r="F251" s="147">
        <f t="shared" si="21"/>
        <v>-4.1598581180024574E-4</v>
      </c>
    </row>
    <row r="252" spans="2:6">
      <c r="B252" s="148">
        <v>249</v>
      </c>
      <c r="C252" s="11">
        <f t="shared" si="23"/>
        <v>74.8</v>
      </c>
      <c r="D252" s="146">
        <f t="shared" si="19"/>
        <v>74.843558901962396</v>
      </c>
      <c r="E252" s="146">
        <f t="shared" si="20"/>
        <v>-4.3558901962398977E-2</v>
      </c>
      <c r="F252" s="147">
        <f t="shared" si="21"/>
        <v>-5.8199934104496975E-4</v>
      </c>
    </row>
    <row r="253" spans="2:6">
      <c r="B253" s="145">
        <v>250</v>
      </c>
      <c r="C253" s="10">
        <v>75</v>
      </c>
      <c r="D253" s="146">
        <f t="shared" si="19"/>
        <v>75.005082608994286</v>
      </c>
      <c r="E253" s="146">
        <f t="shared" si="20"/>
        <v>-5.0826089942859198E-3</v>
      </c>
      <c r="F253" s="147">
        <f t="shared" si="21"/>
        <v>-6.7763527716979688E-5</v>
      </c>
    </row>
    <row r="254" spans="2:6">
      <c r="B254" s="148">
        <v>251</v>
      </c>
      <c r="C254" s="11">
        <f t="shared" ref="C254:C277" si="24">C$278-(B$278-B254)*((C$278-C$253)/(B$278-B$253))</f>
        <v>75.2</v>
      </c>
      <c r="D254" s="146">
        <f t="shared" si="19"/>
        <v>75.202730840524978</v>
      </c>
      <c r="E254" s="146">
        <f t="shared" si="20"/>
        <v>-2.7308405249755197E-3</v>
      </c>
      <c r="F254" s="147">
        <f t="shared" si="21"/>
        <v>-3.6313049997738212E-5</v>
      </c>
    </row>
    <row r="255" spans="2:6">
      <c r="B255" s="148">
        <v>252</v>
      </c>
      <c r="C255" s="11">
        <f t="shared" si="24"/>
        <v>75.400000000000006</v>
      </c>
      <c r="D255" s="146">
        <f t="shared" si="19"/>
        <v>75.400569795075427</v>
      </c>
      <c r="E255" s="146">
        <f t="shared" si="20"/>
        <v>-5.6979507542109786E-4</v>
      </c>
      <c r="F255" s="147">
        <f t="shared" si="21"/>
        <v>-7.5569067576886084E-6</v>
      </c>
    </row>
    <row r="256" spans="2:6">
      <c r="B256" s="148">
        <v>253</v>
      </c>
      <c r="C256" s="11">
        <f t="shared" si="24"/>
        <v>75.599999999999994</v>
      </c>
      <c r="D256" s="146">
        <f t="shared" si="19"/>
        <v>75.598593889438334</v>
      </c>
      <c r="E256" s="146">
        <f t="shared" si="20"/>
        <v>1.4061105616605118E-3</v>
      </c>
      <c r="F256" s="147">
        <f t="shared" si="21"/>
        <v>1.8599691995913048E-5</v>
      </c>
    </row>
    <row r="257" spans="2:6">
      <c r="B257" s="148">
        <v>254</v>
      </c>
      <c r="C257" s="11">
        <f t="shared" si="24"/>
        <v>75.8</v>
      </c>
      <c r="D257" s="146">
        <f t="shared" si="19"/>
        <v>75.796797612166344</v>
      </c>
      <c r="E257" s="146">
        <f t="shared" si="20"/>
        <v>3.2023878336531197E-3</v>
      </c>
      <c r="F257" s="147">
        <f t="shared" si="21"/>
        <v>4.2249645559433446E-5</v>
      </c>
    </row>
    <row r="258" spans="2:6">
      <c r="B258" s="148">
        <v>255</v>
      </c>
      <c r="C258" s="11">
        <f t="shared" si="24"/>
        <v>76</v>
      </c>
      <c r="D258" s="146">
        <f t="shared" si="19"/>
        <v>75.995175523062699</v>
      </c>
      <c r="E258" s="146">
        <f t="shared" si="20"/>
        <v>4.8244769373013696E-3</v>
      </c>
      <c r="F258" s="147">
        <f t="shared" si="21"/>
        <v>6.3483989662493912E-5</v>
      </c>
    </row>
    <row r="259" spans="2:6">
      <c r="B259" s="148">
        <v>256</v>
      </c>
      <c r="C259" s="11">
        <f t="shared" si="24"/>
        <v>76.2</v>
      </c>
      <c r="D259" s="146">
        <f t="shared" si="19"/>
        <v>76.193722252673169</v>
      </c>
      <c r="E259" s="146">
        <f t="shared" si="20"/>
        <v>6.27774732683406E-3</v>
      </c>
      <c r="F259" s="147">
        <f t="shared" si="21"/>
        <v>8.2391923392544086E-5</v>
      </c>
    </row>
    <row r="260" spans="2:6">
      <c r="B260" s="148">
        <v>257</v>
      </c>
      <c r="C260" s="11">
        <f t="shared" si="24"/>
        <v>76.400000000000006</v>
      </c>
      <c r="D260" s="146">
        <f t="shared" ref="D260:D323" si="25">IF(B260=0,0,IF(B260&lt;30,($O$28*B260^6)+($O$29*B260^5)+($O$30*B260^4)+($O$31*B260^3)+($O$32*B260^2)+($O$33*B260)+$O$34,IF(B260&lt;250,($O$19*B260^6)+($O$20*B260^5)+($O$21*B260^4)+($O$22*B260^3)+($O$23*B260^2)+($O$24*B260)+$O$25,IF(B260&lt;1000,($O$10*B260^6)+($O$11*B260^5)+($O$12*B260^4)+($O$13*B260^3)+($O$14*B260^2)+($O$15*B260)+$O$16,IF(B260&lt;9000,(0.8759882+1.259865*(B260/1000)-0.02582505*(B260/1000)^2+0.0008687869*(B260/1000)^3-0.0000101455*(B260/1000)^4)*100,(0.095*B260)+205)))))</f>
        <v>76.392432501779496</v>
      </c>
      <c r="E260" s="146">
        <f t="shared" ref="E260:E323" si="26">C260-D260</f>
        <v>7.5674982205100605E-3</v>
      </c>
      <c r="F260" s="147">
        <f t="shared" ref="F260:F323" si="27">C260/D260-1</f>
        <v>9.9060835905939726E-5</v>
      </c>
    </row>
    <row r="261" spans="2:6">
      <c r="B261" s="148">
        <v>258</v>
      </c>
      <c r="C261" s="11">
        <f t="shared" si="24"/>
        <v>76.599999999999994</v>
      </c>
      <c r="D261" s="146">
        <f t="shared" si="25"/>
        <v>76.591301040894578</v>
      </c>
      <c r="E261" s="146">
        <f t="shared" si="26"/>
        <v>8.6989591054162929E-3</v>
      </c>
      <c r="F261" s="147">
        <f t="shared" si="27"/>
        <v>1.1357633291497748E-4</v>
      </c>
    </row>
    <row r="262" spans="2:6">
      <c r="B262" s="148">
        <v>259</v>
      </c>
      <c r="C262" s="11">
        <f t="shared" si="24"/>
        <v>76.8</v>
      </c>
      <c r="D262" s="146">
        <f t="shared" si="25"/>
        <v>76.79032270975901</v>
      </c>
      <c r="E262" s="146">
        <f t="shared" si="26"/>
        <v>9.6772902409867356E-3</v>
      </c>
      <c r="F262" s="147">
        <f t="shared" si="27"/>
        <v>1.2602226295577168E-4</v>
      </c>
    </row>
    <row r="263" spans="2:6">
      <c r="B263" s="148">
        <v>260</v>
      </c>
      <c r="C263" s="11">
        <f t="shared" si="24"/>
        <v>77</v>
      </c>
      <c r="D263" s="146">
        <f t="shared" si="25"/>
        <v>76.989492416839468</v>
      </c>
      <c r="E263" s="146">
        <f t="shared" si="26"/>
        <v>1.0507583160531908E-2</v>
      </c>
      <c r="F263" s="147">
        <f t="shared" si="27"/>
        <v>1.3648074341943151E-4</v>
      </c>
    </row>
    <row r="264" spans="2:6">
      <c r="B264" s="148">
        <v>261</v>
      </c>
      <c r="C264" s="11">
        <f t="shared" si="24"/>
        <v>77.2</v>
      </c>
      <c r="D264" s="146">
        <f t="shared" si="25"/>
        <v>77.188805138828229</v>
      </c>
      <c r="E264" s="146">
        <f t="shared" si="26"/>
        <v>1.1194861171773596E-2</v>
      </c>
      <c r="F264" s="147">
        <f t="shared" si="27"/>
        <v>1.4503218635963933E-4</v>
      </c>
    </row>
    <row r="265" spans="2:6">
      <c r="B265" s="148">
        <v>262</v>
      </c>
      <c r="C265" s="11">
        <f t="shared" si="24"/>
        <v>77.400000000000006</v>
      </c>
      <c r="D265" s="146">
        <f t="shared" si="25"/>
        <v>77.388255920144857</v>
      </c>
      <c r="E265" s="146">
        <f t="shared" si="26"/>
        <v>1.174407985514847E-2</v>
      </c>
      <c r="F265" s="147">
        <f t="shared" si="27"/>
        <v>1.5175532405420356E-4</v>
      </c>
    </row>
    <row r="266" spans="2:6">
      <c r="B266" s="148">
        <v>263</v>
      </c>
      <c r="C266" s="11">
        <f t="shared" si="24"/>
        <v>77.599999999999994</v>
      </c>
      <c r="D266" s="146">
        <f t="shared" si="25"/>
        <v>77.587839872438764</v>
      </c>
      <c r="E266" s="146">
        <f t="shared" si="26"/>
        <v>1.2160127561230638E-2</v>
      </c>
      <c r="F266" s="147">
        <f t="shared" si="27"/>
        <v>1.5672723433501901E-4</v>
      </c>
    </row>
    <row r="267" spans="2:6">
      <c r="B267" s="148">
        <v>264</v>
      </c>
      <c r="C267" s="11">
        <f t="shared" si="24"/>
        <v>77.8</v>
      </c>
      <c r="D267" s="146">
        <f t="shared" si="25"/>
        <v>77.787552174093861</v>
      </c>
      <c r="E267" s="146">
        <f t="shared" si="26"/>
        <v>1.2447825906136245E-2</v>
      </c>
      <c r="F267" s="147">
        <f t="shared" si="27"/>
        <v>1.6002336567000341E-4</v>
      </c>
    </row>
    <row r="268" spans="2:6">
      <c r="B268" s="148">
        <v>265</v>
      </c>
      <c r="C268" s="11">
        <f t="shared" si="24"/>
        <v>78</v>
      </c>
      <c r="D268" s="146">
        <f t="shared" si="25"/>
        <v>77.987388069734564</v>
      </c>
      <c r="E268" s="146">
        <f t="shared" si="26"/>
        <v>1.2611930265435944E-2</v>
      </c>
      <c r="F268" s="147">
        <f t="shared" si="27"/>
        <v>1.6171756200056286E-4</v>
      </c>
    </row>
    <row r="269" spans="2:6">
      <c r="B269" s="148">
        <v>266</v>
      </c>
      <c r="C269" s="11">
        <f t="shared" si="24"/>
        <v>78.2</v>
      </c>
      <c r="D269" s="146">
        <f t="shared" si="25"/>
        <v>78.187342869733286</v>
      </c>
      <c r="E269" s="146">
        <f t="shared" si="26"/>
        <v>1.2657130266717331E-2</v>
      </c>
      <c r="F269" s="147">
        <f t="shared" si="27"/>
        <v>1.6188208733236564E-4</v>
      </c>
    </row>
    <row r="270" spans="2:6">
      <c r="B270" s="148">
        <v>267</v>
      </c>
      <c r="C270" s="11">
        <f t="shared" si="24"/>
        <v>78.400000000000006</v>
      </c>
      <c r="D270" s="146">
        <f t="shared" si="25"/>
        <v>78.387411949719706</v>
      </c>
      <c r="E270" s="146">
        <f t="shared" si="26"/>
        <v>1.2588050280299967E-2</v>
      </c>
      <c r="F270" s="147">
        <f t="shared" si="27"/>
        <v>1.6058765007298526E-4</v>
      </c>
    </row>
    <row r="271" spans="2:6">
      <c r="B271" s="148">
        <v>268</v>
      </c>
      <c r="C271" s="11">
        <f t="shared" si="24"/>
        <v>78.599999999999994</v>
      </c>
      <c r="D271" s="146">
        <f t="shared" si="25"/>
        <v>78.587590750091437</v>
      </c>
      <c r="E271" s="146">
        <f t="shared" si="26"/>
        <v>1.240924990855774E-2</v>
      </c>
      <c r="F271" s="147">
        <f t="shared" si="27"/>
        <v>1.5790342712018735E-4</v>
      </c>
    </row>
    <row r="272" spans="2:6">
      <c r="B272" s="148">
        <v>269</v>
      </c>
      <c r="C272" s="11">
        <f t="shared" si="24"/>
        <v>78.8</v>
      </c>
      <c r="D272" s="146">
        <f t="shared" si="25"/>
        <v>78.787874775526205</v>
      </c>
      <c r="E272" s="146">
        <f t="shared" si="26"/>
        <v>1.2125224473791718E-2</v>
      </c>
      <c r="F272" s="147">
        <f t="shared" si="27"/>
        <v>1.5389708769708577E-4</v>
      </c>
    </row>
    <row r="273" spans="2:6">
      <c r="B273" s="148">
        <v>270</v>
      </c>
      <c r="C273" s="11">
        <f t="shared" si="24"/>
        <v>79</v>
      </c>
      <c r="D273" s="146">
        <f t="shared" si="25"/>
        <v>78.988259594495815</v>
      </c>
      <c r="E273" s="146">
        <f t="shared" si="26"/>
        <v>1.1740405504184537E-2</v>
      </c>
      <c r="F273" s="147">
        <f t="shared" si="27"/>
        <v>1.4863481692661829E-4</v>
      </c>
    </row>
    <row r="274" spans="2:6">
      <c r="B274" s="148">
        <v>271</v>
      </c>
      <c r="C274" s="11">
        <f t="shared" si="24"/>
        <v>79.2</v>
      </c>
      <c r="D274" s="146">
        <f t="shared" si="25"/>
        <v>79.188740838781442</v>
      </c>
      <c r="E274" s="146">
        <f t="shared" si="26"/>
        <v>1.1259161218561076E-2</v>
      </c>
      <c r="F274" s="147">
        <f t="shared" si="27"/>
        <v>1.4218133915622211E-4</v>
      </c>
    </row>
    <row r="275" spans="2:6">
      <c r="B275" s="148">
        <v>272</v>
      </c>
      <c r="C275" s="11">
        <f t="shared" si="24"/>
        <v>79.400000000000006</v>
      </c>
      <c r="D275" s="146">
        <f t="shared" si="25"/>
        <v>79.389314202990718</v>
      </c>
      <c r="E275" s="146">
        <f t="shared" si="26"/>
        <v>1.0685797009287512E-2</v>
      </c>
      <c r="F275" s="147">
        <f t="shared" si="27"/>
        <v>1.3459994101938655E-4</v>
      </c>
    </row>
    <row r="276" spans="2:6">
      <c r="B276" s="148">
        <v>273</v>
      </c>
      <c r="C276" s="11">
        <f t="shared" si="24"/>
        <v>79.599999999999994</v>
      </c>
      <c r="D276" s="146">
        <f t="shared" si="25"/>
        <v>79.589975444076074</v>
      </c>
      <c r="E276" s="146">
        <f t="shared" si="26"/>
        <v>1.002455592391982E-2</v>
      </c>
      <c r="F276" s="147">
        <f t="shared" si="27"/>
        <v>1.2595249424296462E-4</v>
      </c>
    </row>
    <row r="277" spans="2:6">
      <c r="B277" s="148">
        <v>274</v>
      </c>
      <c r="C277" s="11">
        <f t="shared" si="24"/>
        <v>79.8</v>
      </c>
      <c r="D277" s="146">
        <f t="shared" si="25"/>
        <v>79.790720380854935</v>
      </c>
      <c r="E277" s="146">
        <f t="shared" si="26"/>
        <v>9.2796191450617016E-3</v>
      </c>
      <c r="F277" s="147">
        <f t="shared" si="27"/>
        <v>1.162994781944704E-4</v>
      </c>
    </row>
    <row r="278" spans="2:6">
      <c r="B278" s="145">
        <v>275</v>
      </c>
      <c r="C278" s="10">
        <v>80</v>
      </c>
      <c r="D278" s="146">
        <f t="shared" si="25"/>
        <v>79.991544893531369</v>
      </c>
      <c r="E278" s="146">
        <f t="shared" si="26"/>
        <v>8.4551064686309019E-3</v>
      </c>
      <c r="F278" s="147">
        <f t="shared" si="27"/>
        <v>1.0570000216758579E-4</v>
      </c>
    </row>
    <row r="279" spans="2:6">
      <c r="B279" s="148">
        <v>276</v>
      </c>
      <c r="C279" s="11">
        <f t="shared" ref="C279:C302" si="28">C$303-(B$303-B279)*((C$303-C$278)/(B$303-B$278))</f>
        <v>80.2</v>
      </c>
      <c r="D279" s="146">
        <f t="shared" si="25"/>
        <v>80.192444923219199</v>
      </c>
      <c r="E279" s="146">
        <f t="shared" si="26"/>
        <v>7.5550767808039154E-3</v>
      </c>
      <c r="F279" s="147">
        <f t="shared" si="27"/>
        <v>9.4211827411427862E-5</v>
      </c>
    </row>
    <row r="280" spans="2:6">
      <c r="B280" s="148">
        <v>277</v>
      </c>
      <c r="C280" s="11">
        <f t="shared" si="28"/>
        <v>80.400000000000006</v>
      </c>
      <c r="D280" s="146">
        <f t="shared" si="25"/>
        <v>80.393416471466836</v>
      </c>
      <c r="E280" s="146">
        <f t="shared" si="26"/>
        <v>6.5835285331701243E-3</v>
      </c>
      <c r="F280" s="147">
        <f t="shared" si="27"/>
        <v>8.1891388898913675E-5</v>
      </c>
    </row>
    <row r="281" spans="2:6">
      <c r="B281" s="148">
        <v>278</v>
      </c>
      <c r="C281" s="11">
        <f t="shared" si="28"/>
        <v>80.599999999999994</v>
      </c>
      <c r="D281" s="146">
        <f t="shared" si="25"/>
        <v>80.594455599783672</v>
      </c>
      <c r="E281" s="146">
        <f t="shared" si="26"/>
        <v>5.5444002163227424E-3</v>
      </c>
      <c r="F281" s="147">
        <f t="shared" si="27"/>
        <v>6.8793816833334631E-5</v>
      </c>
    </row>
    <row r="282" spans="2:6">
      <c r="B282" s="148">
        <v>279</v>
      </c>
      <c r="C282" s="11">
        <f t="shared" si="28"/>
        <v>80.8</v>
      </c>
      <c r="D282" s="146">
        <f t="shared" si="25"/>
        <v>80.795558429167798</v>
      </c>
      <c r="E282" s="146">
        <f t="shared" si="26"/>
        <v>4.4415708321992042E-3</v>
      </c>
      <c r="F282" s="147">
        <f t="shared" si="27"/>
        <v>5.4972957902021946E-5</v>
      </c>
    </row>
    <row r="283" spans="2:6">
      <c r="B283" s="148">
        <v>280</v>
      </c>
      <c r="C283" s="11">
        <f t="shared" si="28"/>
        <v>81</v>
      </c>
      <c r="D283" s="146">
        <f t="shared" si="25"/>
        <v>80.996721139635582</v>
      </c>
      <c r="E283" s="146">
        <f t="shared" si="26"/>
        <v>3.2788603644178238E-3</v>
      </c>
      <c r="F283" s="147">
        <f t="shared" si="27"/>
        <v>4.0481396262448399E-5</v>
      </c>
    </row>
    <row r="284" spans="2:6">
      <c r="B284" s="148">
        <v>281</v>
      </c>
      <c r="C284" s="11">
        <f t="shared" si="28"/>
        <v>81.2</v>
      </c>
      <c r="D284" s="146">
        <f t="shared" si="25"/>
        <v>81.19793996975271</v>
      </c>
      <c r="E284" s="146">
        <f t="shared" si="26"/>
        <v>2.0600302472928433E-3</v>
      </c>
      <c r="F284" s="147">
        <f t="shared" si="27"/>
        <v>2.5370474276309452E-5</v>
      </c>
    </row>
    <row r="285" spans="2:6">
      <c r="B285" s="148">
        <v>282</v>
      </c>
      <c r="C285" s="11">
        <f t="shared" si="28"/>
        <v>81.400000000000006</v>
      </c>
      <c r="D285" s="146">
        <f t="shared" si="25"/>
        <v>81.399211216166478</v>
      </c>
      <c r="E285" s="146">
        <f t="shared" si="26"/>
        <v>7.8878383352787296E-4</v>
      </c>
      <c r="F285" s="147">
        <f t="shared" si="27"/>
        <v>9.6903129862546677E-6</v>
      </c>
    </row>
    <row r="286" spans="2:6">
      <c r="B286" s="148">
        <v>283</v>
      </c>
      <c r="C286" s="11">
        <f t="shared" si="28"/>
        <v>81.599999999999994</v>
      </c>
      <c r="D286" s="146">
        <f t="shared" si="25"/>
        <v>81.600531233140487</v>
      </c>
      <c r="E286" s="146">
        <f t="shared" si="26"/>
        <v>-5.312331404923043E-4</v>
      </c>
      <c r="F286" s="147">
        <f t="shared" si="27"/>
        <v>-6.5101676725021207E-6</v>
      </c>
    </row>
    <row r="287" spans="2:6">
      <c r="B287" s="148">
        <v>284</v>
      </c>
      <c r="C287" s="11">
        <f t="shared" si="28"/>
        <v>81.8</v>
      </c>
      <c r="D287" s="146">
        <f t="shared" si="25"/>
        <v>81.801896432089663</v>
      </c>
      <c r="E287" s="146">
        <f t="shared" si="26"/>
        <v>-1.8964320896657227E-3</v>
      </c>
      <c r="F287" s="147">
        <f t="shared" si="27"/>
        <v>-2.3183228902823316E-5</v>
      </c>
    </row>
    <row r="288" spans="2:6">
      <c r="B288" s="148">
        <v>285</v>
      </c>
      <c r="C288" s="11">
        <f t="shared" si="28"/>
        <v>82</v>
      </c>
      <c r="D288" s="146">
        <f t="shared" si="25"/>
        <v>82.003303281118079</v>
      </c>
      <c r="E288" s="146">
        <f t="shared" si="26"/>
        <v>-3.3032811180788713E-3</v>
      </c>
      <c r="F288" s="147">
        <f t="shared" si="27"/>
        <v>-4.0282293345628162E-5</v>
      </c>
    </row>
    <row r="289" spans="2:6">
      <c r="B289" s="148">
        <v>286</v>
      </c>
      <c r="C289" s="11">
        <f t="shared" si="28"/>
        <v>82.2</v>
      </c>
      <c r="D289" s="146">
        <f t="shared" si="25"/>
        <v>82.204748304557469</v>
      </c>
      <c r="E289" s="146">
        <f t="shared" si="26"/>
        <v>-4.7483045574665539E-3</v>
      </c>
      <c r="F289" s="147">
        <f t="shared" si="27"/>
        <v>-5.7761925623456278E-5</v>
      </c>
    </row>
    <row r="290" spans="2:6">
      <c r="B290" s="148">
        <v>287</v>
      </c>
      <c r="C290" s="11">
        <f t="shared" si="28"/>
        <v>82.4</v>
      </c>
      <c r="D290" s="146">
        <f t="shared" si="25"/>
        <v>82.40622808250771</v>
      </c>
      <c r="E290" s="146">
        <f t="shared" si="26"/>
        <v>-6.2280825077039026E-3</v>
      </c>
      <c r="F290" s="147">
        <f t="shared" si="27"/>
        <v>-7.5577813141380901E-5</v>
      </c>
    </row>
    <row r="291" spans="2:6">
      <c r="B291" s="148">
        <v>288</v>
      </c>
      <c r="C291" s="11">
        <f t="shared" si="28"/>
        <v>82.6</v>
      </c>
      <c r="D291" s="146">
        <f t="shared" si="25"/>
        <v>82.607739250378657</v>
      </c>
      <c r="E291" s="146">
        <f t="shared" si="26"/>
        <v>-7.7392503786626321E-3</v>
      </c>
      <c r="F291" s="147">
        <f t="shared" si="27"/>
        <v>-9.3686747136390025E-5</v>
      </c>
    </row>
    <row r="292" spans="2:6">
      <c r="B292" s="148">
        <v>289</v>
      </c>
      <c r="C292" s="11">
        <f t="shared" si="28"/>
        <v>82.8</v>
      </c>
      <c r="D292" s="146">
        <f t="shared" si="25"/>
        <v>82.809278498433954</v>
      </c>
      <c r="E292" s="146">
        <f t="shared" si="26"/>
        <v>-9.2784984339573384E-3</v>
      </c>
      <c r="F292" s="147">
        <f t="shared" si="27"/>
        <v>-1.1204660398211885E-4</v>
      </c>
    </row>
    <row r="293" spans="2:6">
      <c r="B293" s="148">
        <v>290</v>
      </c>
      <c r="C293" s="11">
        <f t="shared" si="28"/>
        <v>83</v>
      </c>
      <c r="D293" s="146">
        <f t="shared" si="25"/>
        <v>83.010842571335658</v>
      </c>
      <c r="E293" s="146">
        <f t="shared" si="26"/>
        <v>-1.0842571335658135E-2</v>
      </c>
      <c r="F293" s="147">
        <f t="shared" si="27"/>
        <v>-1.3061632673272427E-4</v>
      </c>
    </row>
    <row r="294" spans="2:6">
      <c r="B294" s="148">
        <v>291</v>
      </c>
      <c r="C294" s="11">
        <f t="shared" si="28"/>
        <v>83.2</v>
      </c>
      <c r="D294" s="146">
        <f t="shared" si="25"/>
        <v>83.21242826769118</v>
      </c>
      <c r="E294" s="146">
        <f t="shared" si="26"/>
        <v>-1.2428267691177552E-2</v>
      </c>
      <c r="F294" s="147">
        <f t="shared" si="27"/>
        <v>-1.493559069228878E-4</v>
      </c>
    </row>
    <row r="295" spans="2:6">
      <c r="B295" s="148">
        <v>292</v>
      </c>
      <c r="C295" s="11">
        <f t="shared" si="28"/>
        <v>83.4</v>
      </c>
      <c r="D295" s="146">
        <f t="shared" si="25"/>
        <v>83.414032439601513</v>
      </c>
      <c r="E295" s="146">
        <f t="shared" si="26"/>
        <v>-1.4032439601507463E-2</v>
      </c>
      <c r="F295" s="147">
        <f t="shared" si="27"/>
        <v>-1.6822636660884793E-4</v>
      </c>
    </row>
    <row r="296" spans="2:6">
      <c r="B296" s="148">
        <v>293</v>
      </c>
      <c r="C296" s="11">
        <f t="shared" si="28"/>
        <v>83.6</v>
      </c>
      <c r="D296" s="146">
        <f t="shared" si="25"/>
        <v>83.615651992210729</v>
      </c>
      <c r="E296" s="146">
        <f t="shared" si="26"/>
        <v>-1.5651992210734988E-2</v>
      </c>
      <c r="F296" s="147">
        <f t="shared" si="27"/>
        <v>-1.8718974065035088E-4</v>
      </c>
    </row>
    <row r="297" spans="2:6">
      <c r="B297" s="148">
        <v>294</v>
      </c>
      <c r="C297" s="11">
        <f t="shared" si="28"/>
        <v>83.8</v>
      </c>
      <c r="D297" s="146">
        <f t="shared" si="25"/>
        <v>83.817283883257417</v>
      </c>
      <c r="E297" s="146">
        <f t="shared" si="26"/>
        <v>-1.728388325742003E-2</v>
      </c>
      <c r="F297" s="147">
        <f t="shared" si="27"/>
        <v>-2.0620905923762756E-4</v>
      </c>
    </row>
    <row r="298" spans="2:6">
      <c r="B298" s="148">
        <v>295</v>
      </c>
      <c r="C298" s="11">
        <f t="shared" si="28"/>
        <v>84</v>
      </c>
      <c r="D298" s="146">
        <f t="shared" si="25"/>
        <v>84.018925122627707</v>
      </c>
      <c r="E298" s="146">
        <f t="shared" si="26"/>
        <v>-1.8925122627706514E-2</v>
      </c>
      <c r="F298" s="147">
        <f t="shared" si="27"/>
        <v>-2.2524833065984406E-4</v>
      </c>
    </row>
    <row r="299" spans="2:6">
      <c r="B299" s="148">
        <v>296</v>
      </c>
      <c r="C299" s="11">
        <f t="shared" si="28"/>
        <v>84.2</v>
      </c>
      <c r="D299" s="146">
        <f t="shared" si="25"/>
        <v>84.220572771909545</v>
      </c>
      <c r="E299" s="146">
        <f t="shared" si="26"/>
        <v>-2.0572771909542098E-2</v>
      </c>
      <c r="F299" s="147">
        <f t="shared" si="27"/>
        <v>-2.4427252430658797E-4</v>
      </c>
    </row>
    <row r="300" spans="2:6">
      <c r="B300" s="148">
        <v>297</v>
      </c>
      <c r="C300" s="11">
        <f t="shared" si="28"/>
        <v>84.4</v>
      </c>
      <c r="D300" s="146">
        <f t="shared" si="25"/>
        <v>84.422223943948609</v>
      </c>
      <c r="E300" s="146">
        <f t="shared" si="26"/>
        <v>-2.2223943948603164E-2</v>
      </c>
      <c r="F300" s="147">
        <f t="shared" si="27"/>
        <v>-2.6324755390660926E-4</v>
      </c>
    </row>
    <row r="301" spans="2:6">
      <c r="B301" s="148">
        <v>298</v>
      </c>
      <c r="C301" s="11">
        <f t="shared" si="28"/>
        <v>84.6</v>
      </c>
      <c r="D301" s="146">
        <f t="shared" si="25"/>
        <v>84.623875802406133</v>
      </c>
      <c r="E301" s="146">
        <f t="shared" si="26"/>
        <v>-2.3875802406138291E-2</v>
      </c>
      <c r="F301" s="147">
        <f t="shared" si="27"/>
        <v>-2.8214026100492617E-4</v>
      </c>
    </row>
    <row r="302" spans="2:6">
      <c r="B302" s="148">
        <v>299</v>
      </c>
      <c r="C302" s="11">
        <f t="shared" si="28"/>
        <v>84.8</v>
      </c>
      <c r="D302" s="146">
        <f t="shared" si="25"/>
        <v>84.825525561317875</v>
      </c>
      <c r="E302" s="146">
        <f t="shared" si="26"/>
        <v>-2.5525561317877532E-2</v>
      </c>
      <c r="F302" s="147">
        <f t="shared" si="27"/>
        <v>-3.0091839866552839E-4</v>
      </c>
    </row>
    <row r="303" spans="2:6">
      <c r="B303" s="145">
        <v>300</v>
      </c>
      <c r="C303" s="10">
        <v>85</v>
      </c>
      <c r="D303" s="146">
        <f t="shared" si="25"/>
        <v>85.02717048465469</v>
      </c>
      <c r="E303" s="146">
        <f t="shared" si="26"/>
        <v>-2.7170484654689631E-2</v>
      </c>
      <c r="F303" s="147">
        <f t="shared" si="27"/>
        <v>-3.1955061540700491E-4</v>
      </c>
    </row>
    <row r="304" spans="2:6">
      <c r="B304" s="148">
        <v>310</v>
      </c>
      <c r="C304" s="11">
        <f t="shared" ref="C304:C312" si="29">C$313-(B$313-B304)*((C$313-C$303)/(B$313-B$303))</f>
        <v>87</v>
      </c>
      <c r="D304" s="146">
        <f t="shared" si="25"/>
        <v>87.042786667012649</v>
      </c>
      <c r="E304" s="146">
        <f t="shared" si="26"/>
        <v>-4.2786667012649104E-2</v>
      </c>
      <c r="F304" s="147">
        <f t="shared" si="27"/>
        <v>-4.9155902115505246E-4</v>
      </c>
    </row>
    <row r="305" spans="2:6">
      <c r="B305" s="148">
        <v>320</v>
      </c>
      <c r="C305" s="11">
        <f t="shared" si="29"/>
        <v>89</v>
      </c>
      <c r="D305" s="146">
        <f t="shared" si="25"/>
        <v>89.055263776371135</v>
      </c>
      <c r="E305" s="146">
        <f t="shared" si="26"/>
        <v>-5.5263776371134554E-2</v>
      </c>
      <c r="F305" s="147">
        <f t="shared" si="27"/>
        <v>-6.2055597870003254E-4</v>
      </c>
    </row>
    <row r="306" spans="2:6">
      <c r="B306" s="148">
        <v>330</v>
      </c>
      <c r="C306" s="11">
        <f t="shared" si="29"/>
        <v>91</v>
      </c>
      <c r="D306" s="146">
        <f t="shared" si="25"/>
        <v>91.062622581216502</v>
      </c>
      <c r="E306" s="146">
        <f t="shared" si="26"/>
        <v>-6.2622581216501771E-2</v>
      </c>
      <c r="F306" s="147">
        <f t="shared" si="27"/>
        <v>-6.8768699430599156E-4</v>
      </c>
    </row>
    <row r="307" spans="2:6">
      <c r="B307" s="148">
        <v>340</v>
      </c>
      <c r="C307" s="11">
        <f t="shared" si="29"/>
        <v>93</v>
      </c>
      <c r="D307" s="146">
        <f t="shared" si="25"/>
        <v>93.063290762343627</v>
      </c>
      <c r="E307" s="146">
        <f t="shared" si="26"/>
        <v>-6.3290762343626739E-2</v>
      </c>
      <c r="F307" s="147">
        <f t="shared" si="27"/>
        <v>-6.800830039983552E-4</v>
      </c>
    </row>
    <row r="308" spans="2:6">
      <c r="B308" s="148">
        <v>350</v>
      </c>
      <c r="C308" s="11">
        <f t="shared" si="29"/>
        <v>95</v>
      </c>
      <c r="D308" s="146">
        <f t="shared" si="25"/>
        <v>95.056063276442643</v>
      </c>
      <c r="E308" s="146">
        <f t="shared" si="26"/>
        <v>-5.6063276442642973E-2</v>
      </c>
      <c r="F308" s="147">
        <f t="shared" si="27"/>
        <v>-5.8979169250461538E-4</v>
      </c>
    </row>
    <row r="309" spans="2:6">
      <c r="B309" s="148">
        <v>360</v>
      </c>
      <c r="C309" s="11">
        <f t="shared" si="29"/>
        <v>97</v>
      </c>
      <c r="D309" s="146">
        <f t="shared" si="25"/>
        <v>97.040064281486181</v>
      </c>
      <c r="E309" s="146">
        <f t="shared" si="26"/>
        <v>-4.006428148618113E-2</v>
      </c>
      <c r="F309" s="147">
        <f t="shared" si="27"/>
        <v>-4.1286330324319387E-4</v>
      </c>
    </row>
    <row r="310" spans="2:6">
      <c r="B310" s="148">
        <v>370</v>
      </c>
      <c r="C310" s="11">
        <f t="shared" si="29"/>
        <v>99</v>
      </c>
      <c r="D310" s="146">
        <f t="shared" si="25"/>
        <v>99.014710623919484</v>
      </c>
      <c r="E310" s="146">
        <f t="shared" si="26"/>
        <v>-1.4710623919484078E-2</v>
      </c>
      <c r="F310" s="147">
        <f t="shared" si="27"/>
        <v>-1.4857008445301467E-4</v>
      </c>
    </row>
    <row r="311" spans="2:6">
      <c r="B311" s="148">
        <v>380</v>
      </c>
      <c r="C311" s="11">
        <f t="shared" si="29"/>
        <v>101</v>
      </c>
      <c r="D311" s="146">
        <f t="shared" si="25"/>
        <v>100.97967688765132</v>
      </c>
      <c r="E311" s="146">
        <f t="shared" si="26"/>
        <v>2.0323112348677341E-2</v>
      </c>
      <c r="F311" s="147">
        <f t="shared" si="27"/>
        <v>2.0125943135362867E-4</v>
      </c>
    </row>
    <row r="312" spans="2:6">
      <c r="B312" s="148">
        <v>390</v>
      </c>
      <c r="C312" s="11">
        <f t="shared" si="29"/>
        <v>103</v>
      </c>
      <c r="D312" s="146">
        <f t="shared" si="25"/>
        <v>102.9348620048474</v>
      </c>
      <c r="E312" s="146">
        <f t="shared" si="26"/>
        <v>6.5137995152596773E-2</v>
      </c>
      <c r="F312" s="147">
        <f t="shared" si="27"/>
        <v>6.3280791253728097E-4</v>
      </c>
    </row>
    <row r="313" spans="2:6">
      <c r="B313" s="149">
        <v>400</v>
      </c>
      <c r="C313" s="13">
        <v>105</v>
      </c>
      <c r="D313" s="146">
        <f t="shared" si="25"/>
        <v>104.88035742852495</v>
      </c>
      <c r="E313" s="146">
        <f t="shared" si="26"/>
        <v>0.11964257147505464</v>
      </c>
      <c r="F313" s="147">
        <f t="shared" si="27"/>
        <v>1.1407528960472035E-3</v>
      </c>
    </row>
    <row r="314" spans="2:6">
      <c r="B314" s="148">
        <v>410</v>
      </c>
      <c r="C314" s="11">
        <f t="shared" ref="C314:C322" si="30">C$323-(B$323-B314)*((C$323-C$313)/(B$323-B$313))</f>
        <v>106.9</v>
      </c>
      <c r="D314" s="146">
        <f t="shared" si="25"/>
        <v>106.8164168669496</v>
      </c>
      <c r="E314" s="146">
        <f t="shared" si="26"/>
        <v>8.3583133050410652E-2</v>
      </c>
      <c r="F314" s="147">
        <f t="shared" si="27"/>
        <v>7.8249332361068902E-4</v>
      </c>
    </row>
    <row r="315" spans="2:6">
      <c r="B315" s="148">
        <v>420</v>
      </c>
      <c r="C315" s="11">
        <f t="shared" si="30"/>
        <v>108.8</v>
      </c>
      <c r="D315" s="146">
        <f t="shared" si="25"/>
        <v>108.74342757983348</v>
      </c>
      <c r="E315" s="146">
        <f t="shared" si="26"/>
        <v>5.6572420166517645E-2</v>
      </c>
      <c r="F315" s="147">
        <f t="shared" si="27"/>
        <v>5.2023760355535131E-4</v>
      </c>
    </row>
    <row r="316" spans="2:6">
      <c r="B316" s="148">
        <v>430</v>
      </c>
      <c r="C316" s="11">
        <f t="shared" si="30"/>
        <v>110.7</v>
      </c>
      <c r="D316" s="146">
        <f t="shared" si="25"/>
        <v>110.66188323633526</v>
      </c>
      <c r="E316" s="146">
        <f t="shared" si="26"/>
        <v>3.8116763664746145E-2</v>
      </c>
      <c r="F316" s="147">
        <f t="shared" si="27"/>
        <v>3.4444347547690768E-4</v>
      </c>
    </row>
    <row r="317" spans="2:6">
      <c r="B317" s="148">
        <v>440</v>
      </c>
      <c r="C317" s="11">
        <f t="shared" si="30"/>
        <v>112.6</v>
      </c>
      <c r="D317" s="146">
        <f t="shared" si="25"/>
        <v>112.57235833486243</v>
      </c>
      <c r="E317" s="146">
        <f t="shared" si="26"/>
        <v>2.7641665137565496E-2</v>
      </c>
      <c r="F317" s="147">
        <f t="shared" si="27"/>
        <v>2.4554575871404971E-4</v>
      </c>
    </row>
    <row r="318" spans="2:6">
      <c r="B318" s="148">
        <v>450</v>
      </c>
      <c r="C318" s="11">
        <f t="shared" si="30"/>
        <v>114.5</v>
      </c>
      <c r="D318" s="146">
        <f t="shared" si="25"/>
        <v>114.47548418467414</v>
      </c>
      <c r="E318" s="146">
        <f t="shared" si="26"/>
        <v>2.4515815325855783E-2</v>
      </c>
      <c r="F318" s="147">
        <f t="shared" si="27"/>
        <v>2.141577779772863E-4</v>
      </c>
    </row>
    <row r="319" spans="2:6">
      <c r="B319" s="148">
        <v>460</v>
      </c>
      <c r="C319" s="11">
        <f t="shared" si="30"/>
        <v>116.4</v>
      </c>
      <c r="D319" s="146">
        <f t="shared" si="25"/>
        <v>116.37192644928743</v>
      </c>
      <c r="E319" s="146">
        <f t="shared" si="26"/>
        <v>2.8073550712576889E-2</v>
      </c>
      <c r="F319" s="147">
        <f t="shared" si="27"/>
        <v>2.4123988980107036E-4</v>
      </c>
    </row>
    <row r="320" spans="2:6">
      <c r="B320" s="148">
        <v>470</v>
      </c>
      <c r="C320" s="11">
        <f t="shared" si="30"/>
        <v>118.3</v>
      </c>
      <c r="D320" s="146">
        <f t="shared" si="25"/>
        <v>118.26236425168381</v>
      </c>
      <c r="E320" s="146">
        <f t="shared" si="26"/>
        <v>3.7635748316191098E-2</v>
      </c>
      <c r="F320" s="147">
        <f t="shared" si="27"/>
        <v>3.1823943783249042E-4</v>
      </c>
    </row>
    <row r="321" spans="2:6">
      <c r="B321" s="148">
        <v>480</v>
      </c>
      <c r="C321" s="11">
        <f t="shared" si="30"/>
        <v>120.2</v>
      </c>
      <c r="D321" s="146">
        <f t="shared" si="25"/>
        <v>120.14747084131787</v>
      </c>
      <c r="E321" s="146">
        <f t="shared" si="26"/>
        <v>5.2529158682133925E-2</v>
      </c>
      <c r="F321" s="147">
        <f t="shared" si="27"/>
        <v>4.3720569658534103E-4</v>
      </c>
    </row>
    <row r="322" spans="2:6">
      <c r="B322" s="148">
        <v>490</v>
      </c>
      <c r="C322" s="11">
        <f t="shared" si="30"/>
        <v>122.1</v>
      </c>
      <c r="D322" s="146">
        <f t="shared" si="25"/>
        <v>122.02789582292837</v>
      </c>
      <c r="E322" s="146">
        <f t="shared" si="26"/>
        <v>7.2104177071622644E-2</v>
      </c>
      <c r="F322" s="147">
        <f t="shared" si="27"/>
        <v>5.9088273697893712E-4</v>
      </c>
    </row>
    <row r="323" spans="2:6">
      <c r="B323" s="145">
        <v>500</v>
      </c>
      <c r="C323" s="10">
        <v>124</v>
      </c>
      <c r="D323" s="146">
        <f t="shared" si="25"/>
        <v>123.90424894715039</v>
      </c>
      <c r="E323" s="146">
        <f t="shared" si="26"/>
        <v>9.5751052849607277E-2</v>
      </c>
      <c r="F323" s="147">
        <f t="shared" si="27"/>
        <v>7.727826419452466E-4</v>
      </c>
    </row>
    <row r="324" spans="2:6">
      <c r="B324" s="148">
        <v>510</v>
      </c>
      <c r="C324" s="11">
        <f t="shared" ref="C324:C347" si="31">C$348-(B$348-B324)*((C$348-C$323)/(B$348-B$323))</f>
        <v>125.84</v>
      </c>
      <c r="D324" s="146">
        <f t="shared" ref="D324:D387" si="32">IF(B324=0,0,IF(B324&lt;30,($O$28*B324^6)+($O$29*B324^5)+($O$30*B324^4)+($O$31*B324^3)+($O$32*B324^2)+($O$33*B324)+$O$34,IF(B324&lt;250,($O$19*B324^6)+($O$20*B324^5)+($O$21*B324^4)+($O$22*B324^3)+($O$23*B324^2)+($O$24*B324)+$O$25,IF(B324&lt;1000,($O$10*B324^6)+($O$11*B324^5)+($O$12*B324^4)+($O$13*B324^3)+($O$14*B324^2)+($O$15*B324)+$O$16,IF(B324&lt;9000,(0.8759882+1.259865*(B324/1000)-0.02582505*(B324/1000)^2+0.0008687869*(B324/1000)^3-0.0000101455*(B324/1000)^4)*100,(0.095*B324)+205)))))</f>
        <v>125.77708546292939</v>
      </c>
      <c r="E324" s="146">
        <f t="shared" ref="E324:E387" si="33">C324-D324</f>
        <v>6.2914537070611232E-2</v>
      </c>
      <c r="F324" s="147">
        <f t="shared" ref="F324:F387" si="34">C324/D324-1</f>
        <v>5.0020666991179574E-4</v>
      </c>
    </row>
    <row r="325" spans="2:6">
      <c r="B325" s="148">
        <v>520</v>
      </c>
      <c r="C325" s="11">
        <f t="shared" si="31"/>
        <v>127.68</v>
      </c>
      <c r="D325" s="146">
        <f t="shared" si="32"/>
        <v>127.64689303173699</v>
      </c>
      <c r="E325" s="146">
        <f t="shared" si="33"/>
        <v>3.3106968263012959E-2</v>
      </c>
      <c r="F325" s="147">
        <f t="shared" si="34"/>
        <v>2.5936368270862431E-4</v>
      </c>
    </row>
    <row r="326" spans="2:6">
      <c r="B326" s="148">
        <v>530</v>
      </c>
      <c r="C326" s="11">
        <f t="shared" si="31"/>
        <v>129.52000000000001</v>
      </c>
      <c r="D326" s="146">
        <f t="shared" si="32"/>
        <v>129.51408020358852</v>
      </c>
      <c r="E326" s="146">
        <f t="shared" si="33"/>
        <v>5.9197964114900969E-3</v>
      </c>
      <c r="F326" s="147">
        <f t="shared" si="34"/>
        <v>4.5707743916212351E-5</v>
      </c>
    </row>
    <row r="327" spans="2:6">
      <c r="B327" s="148">
        <v>540</v>
      </c>
      <c r="C327" s="11">
        <f t="shared" si="31"/>
        <v>131.36000000000001</v>
      </c>
      <c r="D327" s="146">
        <f t="shared" si="32"/>
        <v>131.37896645486259</v>
      </c>
      <c r="E327" s="146">
        <f t="shared" si="33"/>
        <v>-1.896645486257853E-2</v>
      </c>
      <c r="F327" s="147">
        <f t="shared" si="34"/>
        <v>-1.4436447000898411E-4</v>
      </c>
    </row>
    <row r="328" spans="2:6">
      <c r="B328" s="148">
        <v>550</v>
      </c>
      <c r="C328" s="11">
        <f t="shared" si="31"/>
        <v>133.19999999999999</v>
      </c>
      <c r="D328" s="146">
        <f t="shared" si="32"/>
        <v>133.24177378792211</v>
      </c>
      <c r="E328" s="146">
        <f t="shared" si="33"/>
        <v>-4.1773787922124939E-2</v>
      </c>
      <c r="F328" s="147">
        <f t="shared" si="34"/>
        <v>-3.1351870163942586E-4</v>
      </c>
    </row>
    <row r="329" spans="2:6">
      <c r="B329" s="148">
        <v>560</v>
      </c>
      <c r="C329" s="11">
        <f t="shared" si="31"/>
        <v>135.04</v>
      </c>
      <c r="D329" s="146">
        <f t="shared" si="32"/>
        <v>135.10261989253684</v>
      </c>
      <c r="E329" s="146">
        <f t="shared" si="33"/>
        <v>-6.2619892536844191E-2</v>
      </c>
      <c r="F329" s="147">
        <f t="shared" si="34"/>
        <v>-4.6349872849726914E-4</v>
      </c>
    </row>
    <row r="330" spans="2:6">
      <c r="B330" s="148">
        <v>570</v>
      </c>
      <c r="C330" s="11">
        <f t="shared" si="31"/>
        <v>136.88</v>
      </c>
      <c r="D330" s="146">
        <f t="shared" si="32"/>
        <v>136.96151286910862</v>
      </c>
      <c r="E330" s="146">
        <f t="shared" si="33"/>
        <v>-8.1512869108621544E-2</v>
      </c>
      <c r="F330" s="147">
        <f t="shared" si="34"/>
        <v>-5.9515164078627336E-4</v>
      </c>
    </row>
    <row r="331" spans="2:6">
      <c r="B331" s="148">
        <v>580</v>
      </c>
      <c r="C331" s="11">
        <f t="shared" si="31"/>
        <v>138.72</v>
      </c>
      <c r="D331" s="146">
        <f t="shared" si="32"/>
        <v>138.81834751369698</v>
      </c>
      <c r="E331" s="146">
        <f t="shared" si="33"/>
        <v>-9.8347513696978694E-2</v>
      </c>
      <c r="F331" s="147">
        <f t="shared" si="34"/>
        <v>-7.0846192494311566E-4</v>
      </c>
    </row>
    <row r="332" spans="2:6">
      <c r="B332" s="148">
        <v>590</v>
      </c>
      <c r="C332" s="11">
        <f t="shared" si="31"/>
        <v>140.56</v>
      </c>
      <c r="D332" s="146">
        <f t="shared" si="32"/>
        <v>140.67290316484682</v>
      </c>
      <c r="E332" s="146">
        <f t="shared" si="33"/>
        <v>-0.11290316484681284</v>
      </c>
      <c r="F332" s="147">
        <f t="shared" si="34"/>
        <v>-8.025935507601778E-4</v>
      </c>
    </row>
    <row r="333" spans="2:6">
      <c r="B333" s="148">
        <v>600</v>
      </c>
      <c r="C333" s="11">
        <f t="shared" si="31"/>
        <v>142.4</v>
      </c>
      <c r="D333" s="146">
        <f t="shared" si="32"/>
        <v>142.52484311222045</v>
      </c>
      <c r="E333" s="146">
        <f t="shared" si="33"/>
        <v>-0.12484311222044653</v>
      </c>
      <c r="F333" s="147">
        <f t="shared" si="34"/>
        <v>-8.7593930639973117E-4</v>
      </c>
    </row>
    <row r="334" spans="2:6">
      <c r="B334" s="148">
        <v>610</v>
      </c>
      <c r="C334" s="11">
        <f t="shared" si="31"/>
        <v>144.24</v>
      </c>
      <c r="D334" s="146">
        <f t="shared" si="32"/>
        <v>144.37371556702669</v>
      </c>
      <c r="E334" s="146">
        <f t="shared" si="33"/>
        <v>-0.13371556702668386</v>
      </c>
      <c r="F334" s="147">
        <f t="shared" si="34"/>
        <v>-9.2617666935779219E-4</v>
      </c>
    </row>
    <row r="335" spans="2:6">
      <c r="B335" s="148">
        <v>620</v>
      </c>
      <c r="C335" s="11">
        <f t="shared" si="31"/>
        <v>146.08000000000001</v>
      </c>
      <c r="D335" s="146">
        <f t="shared" si="32"/>
        <v>146.21895619425499</v>
      </c>
      <c r="E335" s="146">
        <f t="shared" si="33"/>
        <v>-0.1389561942549733</v>
      </c>
      <c r="F335" s="147">
        <f t="shared" si="34"/>
        <v>-9.5032954598828212E-4</v>
      </c>
    </row>
    <row r="336" spans="2:6">
      <c r="B336" s="148">
        <v>630</v>
      </c>
      <c r="C336" s="11">
        <f t="shared" si="31"/>
        <v>147.92000000000002</v>
      </c>
      <c r="D336" s="146">
        <f t="shared" si="32"/>
        <v>148.05989220671165</v>
      </c>
      <c r="E336" s="146">
        <f t="shared" si="33"/>
        <v>-0.13989220671163594</v>
      </c>
      <c r="F336" s="147">
        <f t="shared" si="34"/>
        <v>-9.4483525974964344E-4</v>
      </c>
    </row>
    <row r="337" spans="2:6">
      <c r="B337" s="148">
        <v>640</v>
      </c>
      <c r="C337" s="11">
        <f t="shared" si="31"/>
        <v>149.76</v>
      </c>
      <c r="D337" s="146">
        <f t="shared" si="32"/>
        <v>149.89574802085457</v>
      </c>
      <c r="E337" s="146">
        <f t="shared" si="33"/>
        <v>-0.13574802085457804</v>
      </c>
      <c r="F337" s="147">
        <f t="shared" si="34"/>
        <v>-9.0561622091966942E-4</v>
      </c>
    </row>
    <row r="338" spans="2:6">
      <c r="B338" s="148">
        <v>650</v>
      </c>
      <c r="C338" s="11">
        <f t="shared" si="31"/>
        <v>151.6</v>
      </c>
      <c r="D338" s="146">
        <f t="shared" si="32"/>
        <v>151.72565247443347</v>
      </c>
      <c r="E338" s="146">
        <f t="shared" si="33"/>
        <v>-0.12565247443347971</v>
      </c>
      <c r="F338" s="147">
        <f t="shared" si="34"/>
        <v>-8.281557692075836E-4</v>
      </c>
    </row>
    <row r="339" spans="2:6">
      <c r="B339" s="148">
        <v>660</v>
      </c>
      <c r="C339" s="11">
        <f t="shared" si="31"/>
        <v>153.44</v>
      </c>
      <c r="D339" s="146">
        <f t="shared" si="32"/>
        <v>153.54864760593031</v>
      </c>
      <c r="E339" s="146">
        <f t="shared" si="33"/>
        <v>-0.10864760593031519</v>
      </c>
      <c r="F339" s="147">
        <f t="shared" si="34"/>
        <v>-7.0757774571317267E-4</v>
      </c>
    </row>
    <row r="340" spans="2:6">
      <c r="B340" s="148">
        <v>670</v>
      </c>
      <c r="C340" s="11">
        <f t="shared" si="31"/>
        <v>155.28</v>
      </c>
      <c r="D340" s="146">
        <f t="shared" si="32"/>
        <v>155.36369899579918</v>
      </c>
      <c r="E340" s="146">
        <f t="shared" si="33"/>
        <v>-8.369899579918183E-2</v>
      </c>
      <c r="F340" s="147">
        <f t="shared" si="34"/>
        <v>-5.3872942225352549E-4</v>
      </c>
    </row>
    <row r="341" spans="2:6">
      <c r="B341" s="148">
        <v>680</v>
      </c>
      <c r="C341" s="11">
        <f t="shared" si="31"/>
        <v>157.12</v>
      </c>
      <c r="D341" s="146">
        <f t="shared" si="32"/>
        <v>157.16970766951408</v>
      </c>
      <c r="E341" s="146">
        <f t="shared" si="33"/>
        <v>-4.9707669514077679E-2</v>
      </c>
      <c r="F341" s="147">
        <f t="shared" si="34"/>
        <v>-3.1626749359747741E-4</v>
      </c>
    </row>
    <row r="342" spans="2:6">
      <c r="B342" s="148">
        <v>690</v>
      </c>
      <c r="C342" s="11">
        <f t="shared" si="31"/>
        <v>158.96</v>
      </c>
      <c r="D342" s="146">
        <f t="shared" si="32"/>
        <v>158.96552356241028</v>
      </c>
      <c r="E342" s="146">
        <f t="shared" si="33"/>
        <v>-5.5235624102749625E-3</v>
      </c>
      <c r="F342" s="147">
        <f t="shared" si="34"/>
        <v>-3.4746920505090984E-5</v>
      </c>
    </row>
    <row r="343" spans="2:6">
      <c r="B343" s="148">
        <v>700</v>
      </c>
      <c r="C343" s="11">
        <f t="shared" si="31"/>
        <v>160.80000000000001</v>
      </c>
      <c r="D343" s="146">
        <f t="shared" si="32"/>
        <v>160.74996054633368</v>
      </c>
      <c r="E343" s="146">
        <f t="shared" si="33"/>
        <v>5.0039453666329337E-2</v>
      </c>
      <c r="F343" s="147">
        <f t="shared" si="34"/>
        <v>3.1128750200792865E-4</v>
      </c>
    </row>
    <row r="344" spans="2:6">
      <c r="B344" s="148">
        <v>710</v>
      </c>
      <c r="C344" s="11">
        <f t="shared" si="31"/>
        <v>162.63999999999999</v>
      </c>
      <c r="D344" s="146">
        <f t="shared" si="32"/>
        <v>162.52181301808989</v>
      </c>
      <c r="E344" s="146">
        <f t="shared" si="33"/>
        <v>0.11818698191009958</v>
      </c>
      <c r="F344" s="147">
        <f t="shared" si="34"/>
        <v>7.2720688820360202E-4</v>
      </c>
    </row>
    <row r="345" spans="2:6">
      <c r="B345" s="148">
        <v>720</v>
      </c>
      <c r="C345" s="11">
        <f t="shared" si="31"/>
        <v>164.48</v>
      </c>
      <c r="D345" s="146">
        <f t="shared" si="32"/>
        <v>164.27987404969556</v>
      </c>
      <c r="E345" s="146">
        <f t="shared" si="33"/>
        <v>0.20012595030442526</v>
      </c>
      <c r="F345" s="147">
        <f t="shared" si="34"/>
        <v>1.2182012645316487E-3</v>
      </c>
    </row>
    <row r="346" spans="2:6">
      <c r="B346" s="148">
        <v>730</v>
      </c>
      <c r="C346" s="11">
        <f t="shared" si="31"/>
        <v>166.32</v>
      </c>
      <c r="D346" s="146">
        <f t="shared" si="32"/>
        <v>166.02295510042981</v>
      </c>
      <c r="E346" s="146">
        <f t="shared" si="33"/>
        <v>0.29704489957018154</v>
      </c>
      <c r="F346" s="147">
        <f t="shared" si="34"/>
        <v>1.7891796913895863E-3</v>
      </c>
    </row>
    <row r="347" spans="2:6">
      <c r="B347" s="148">
        <v>740</v>
      </c>
      <c r="C347" s="11">
        <f t="shared" si="31"/>
        <v>168.16</v>
      </c>
      <c r="D347" s="146">
        <f t="shared" si="32"/>
        <v>167.7499072906889</v>
      </c>
      <c r="E347" s="146">
        <f t="shared" si="33"/>
        <v>0.41009270931110109</v>
      </c>
      <c r="F347" s="147">
        <f t="shared" si="34"/>
        <v>2.4446672784173007E-3</v>
      </c>
    </row>
    <row r="348" spans="2:6">
      <c r="B348" s="145">
        <v>750</v>
      </c>
      <c r="C348" s="10">
        <v>170</v>
      </c>
      <c r="D348" s="146">
        <f t="shared" si="32"/>
        <v>169.45964423764235</v>
      </c>
      <c r="E348" s="146">
        <f t="shared" si="33"/>
        <v>0.54035576235764893</v>
      </c>
      <c r="F348" s="147">
        <f t="shared" si="34"/>
        <v>3.1886987889568896E-3</v>
      </c>
    </row>
    <row r="349" spans="2:6">
      <c r="B349" s="148">
        <v>760</v>
      </c>
      <c r="C349" s="11">
        <f t="shared" ref="C349:C372" si="35">C$373-(B$373-B349)*((C$373-C$348)/(B$373-B$348))</f>
        <v>171.52</v>
      </c>
      <c r="D349" s="146">
        <f t="shared" si="32"/>
        <v>171.15116645269137</v>
      </c>
      <c r="E349" s="146">
        <f t="shared" si="33"/>
        <v>0.36883354730863971</v>
      </c>
      <c r="F349" s="147">
        <f t="shared" si="34"/>
        <v>2.1550162640029402E-3</v>
      </c>
    </row>
    <row r="350" spans="2:6">
      <c r="B350" s="148">
        <v>770</v>
      </c>
      <c r="C350" s="11">
        <f t="shared" si="35"/>
        <v>173.04</v>
      </c>
      <c r="D350" s="146">
        <f t="shared" si="32"/>
        <v>172.82358730072761</v>
      </c>
      <c r="E350" s="146">
        <f t="shared" si="33"/>
        <v>0.21641269927238227</v>
      </c>
      <c r="F350" s="147">
        <f t="shared" si="34"/>
        <v>1.2522173775724177E-3</v>
      </c>
    </row>
    <row r="351" spans="2:6">
      <c r="B351" s="148">
        <v>780</v>
      </c>
      <c r="C351" s="11">
        <f t="shared" si="35"/>
        <v>174.56</v>
      </c>
      <c r="D351" s="146">
        <f t="shared" si="32"/>
        <v>174.47616052119494</v>
      </c>
      <c r="E351" s="146">
        <f t="shared" si="33"/>
        <v>8.3839478805060708E-2</v>
      </c>
      <c r="F351" s="147">
        <f t="shared" si="34"/>
        <v>4.8052111276764009E-4</v>
      </c>
    </row>
    <row r="352" spans="2:6">
      <c r="B352" s="148">
        <v>790</v>
      </c>
      <c r="C352" s="11">
        <f t="shared" si="35"/>
        <v>176.08</v>
      </c>
      <c r="D352" s="146">
        <f t="shared" si="32"/>
        <v>176.108309310951</v>
      </c>
      <c r="E352" s="146">
        <f t="shared" si="33"/>
        <v>-2.8309310950987765E-2</v>
      </c>
      <c r="F352" s="147">
        <f t="shared" si="34"/>
        <v>-1.6074943346944259E-4</v>
      </c>
    </row>
    <row r="353" spans="2:6">
      <c r="B353" s="148">
        <v>800</v>
      </c>
      <c r="C353" s="11">
        <f t="shared" si="35"/>
        <v>177.6</v>
      </c>
      <c r="D353" s="146">
        <f t="shared" si="32"/>
        <v>177.71965696893596</v>
      </c>
      <c r="E353" s="146">
        <f t="shared" si="33"/>
        <v>-0.11965696893597055</v>
      </c>
      <c r="F353" s="147">
        <f t="shared" si="34"/>
        <v>-6.7329056884735117E-4</v>
      </c>
    </row>
    <row r="354" spans="2:6">
      <c r="B354" s="148">
        <v>810</v>
      </c>
      <c r="C354" s="11">
        <f t="shared" si="35"/>
        <v>179.12</v>
      </c>
      <c r="D354" s="146">
        <f t="shared" si="32"/>
        <v>179.31005910263428</v>
      </c>
      <c r="E354" s="146">
        <f t="shared" si="33"/>
        <v>-0.1900591026342795</v>
      </c>
      <c r="F354" s="147">
        <f t="shared" si="34"/>
        <v>-1.0599466844495309E-3</v>
      </c>
    </row>
    <row r="355" spans="2:6">
      <c r="B355" s="148">
        <v>820</v>
      </c>
      <c r="C355" s="11">
        <f t="shared" si="35"/>
        <v>180.64</v>
      </c>
      <c r="D355" s="146">
        <f t="shared" si="32"/>
        <v>180.87963739634711</v>
      </c>
      <c r="E355" s="146">
        <f t="shared" si="33"/>
        <v>-0.23963739634712056</v>
      </c>
      <c r="F355" s="147">
        <f t="shared" si="34"/>
        <v>-1.3248445197953096E-3</v>
      </c>
    </row>
    <row r="356" spans="2:6">
      <c r="B356" s="148">
        <v>830</v>
      </c>
      <c r="C356" s="11">
        <f t="shared" si="35"/>
        <v>182.16</v>
      </c>
      <c r="D356" s="146">
        <f t="shared" si="32"/>
        <v>182.42881494125942</v>
      </c>
      <c r="E356" s="146">
        <f t="shared" si="33"/>
        <v>-0.2688149412594214</v>
      </c>
      <c r="F356" s="147">
        <f t="shared" si="34"/>
        <v>-1.4735333414623852E-3</v>
      </c>
    </row>
    <row r="357" spans="2:6">
      <c r="B357" s="148">
        <v>840</v>
      </c>
      <c r="C357" s="11">
        <f t="shared" si="35"/>
        <v>183.68</v>
      </c>
      <c r="D357" s="146">
        <f t="shared" si="32"/>
        <v>183.95835312731299</v>
      </c>
      <c r="E357" s="146">
        <f t="shared" si="33"/>
        <v>-0.27835312731298245</v>
      </c>
      <c r="F357" s="147">
        <f t="shared" si="34"/>
        <v>-1.5131312200883373E-3</v>
      </c>
    </row>
    <row r="358" spans="2:6">
      <c r="B358" s="148">
        <v>850</v>
      </c>
      <c r="C358" s="11">
        <f t="shared" si="35"/>
        <v>185.2</v>
      </c>
      <c r="D358" s="146">
        <f t="shared" si="32"/>
        <v>185.46939009687821</v>
      </c>
      <c r="E358" s="146">
        <f t="shared" si="33"/>
        <v>-0.2693900968782259</v>
      </c>
      <c r="F358" s="147">
        <f t="shared" si="34"/>
        <v>-1.4524773966071436E-3</v>
      </c>
    </row>
    <row r="359" spans="2:6">
      <c r="B359" s="148">
        <v>860</v>
      </c>
      <c r="C359" s="11">
        <f t="shared" si="35"/>
        <v>186.72</v>
      </c>
      <c r="D359" s="146">
        <f t="shared" si="32"/>
        <v>186.96348076023634</v>
      </c>
      <c r="E359" s="146">
        <f t="shared" si="33"/>
        <v>-0.2434807602363378</v>
      </c>
      <c r="F359" s="147">
        <f t="shared" si="34"/>
        <v>-1.3022904753713371E-3</v>
      </c>
    </row>
    <row r="360" spans="2:6">
      <c r="B360" s="148">
        <v>870</v>
      </c>
      <c r="C360" s="11">
        <f t="shared" si="35"/>
        <v>188.24</v>
      </c>
      <c r="D360" s="146">
        <f t="shared" si="32"/>
        <v>188.44263837284632</v>
      </c>
      <c r="E360" s="146">
        <f t="shared" si="33"/>
        <v>-0.20263837284630881</v>
      </c>
      <c r="F360" s="147">
        <f t="shared" si="34"/>
        <v>-1.0753318601142148E-3</v>
      </c>
    </row>
    <row r="361" spans="2:6">
      <c r="B361" s="148">
        <v>880</v>
      </c>
      <c r="C361" s="11">
        <f t="shared" si="35"/>
        <v>189.76</v>
      </c>
      <c r="D361" s="146">
        <f t="shared" si="32"/>
        <v>189.90937767443069</v>
      </c>
      <c r="E361" s="146">
        <f t="shared" si="33"/>
        <v>-0.14937767443069561</v>
      </c>
      <c r="F361" s="147">
        <f t="shared" si="34"/>
        <v>-7.8657345024202296E-4</v>
      </c>
    </row>
    <row r="362" spans="2:6">
      <c r="B362" s="148">
        <v>890</v>
      </c>
      <c r="C362" s="11">
        <f t="shared" si="35"/>
        <v>191.28</v>
      </c>
      <c r="D362" s="146">
        <f t="shared" si="32"/>
        <v>191.36675958985188</v>
      </c>
      <c r="E362" s="146">
        <f t="shared" si="33"/>
        <v>-8.6759589851880037E-2</v>
      </c>
      <c r="F362" s="147">
        <f t="shared" si="34"/>
        <v>-4.533681295425529E-4</v>
      </c>
    </row>
    <row r="363" spans="2:6">
      <c r="B363" s="148">
        <v>900</v>
      </c>
      <c r="C363" s="11">
        <f t="shared" si="35"/>
        <v>192.8</v>
      </c>
      <c r="D363" s="146">
        <f t="shared" si="32"/>
        <v>192.81843749180103</v>
      </c>
      <c r="E363" s="146">
        <f t="shared" si="33"/>
        <v>-1.8437491801023498E-2</v>
      </c>
      <c r="F363" s="147">
        <f t="shared" si="34"/>
        <v>-9.5620999946199881E-5</v>
      </c>
    </row>
    <row r="364" spans="2:6">
      <c r="B364" s="148">
        <v>910</v>
      </c>
      <c r="C364" s="11">
        <f t="shared" si="35"/>
        <v>194.32</v>
      </c>
      <c r="D364" s="146">
        <f t="shared" si="32"/>
        <v>194.26870502527453</v>
      </c>
      <c r="E364" s="146">
        <f t="shared" si="33"/>
        <v>5.1294974725465181E-2</v>
      </c>
      <c r="F364" s="147">
        <f t="shared" si="34"/>
        <v>2.6404136846847059E-4</v>
      </c>
    </row>
    <row r="365" spans="2:6">
      <c r="B365" s="148">
        <v>920</v>
      </c>
      <c r="C365" s="11">
        <f t="shared" si="35"/>
        <v>195.84</v>
      </c>
      <c r="D365" s="146">
        <f t="shared" si="32"/>
        <v>195.72254549386366</v>
      </c>
      <c r="E365" s="146">
        <f t="shared" si="33"/>
        <v>0.11745450613634034</v>
      </c>
      <c r="F365" s="147">
        <f t="shared" si="34"/>
        <v>6.0010718662972806E-4</v>
      </c>
    </row>
    <row r="366" spans="2:6">
      <c r="B366" s="148">
        <v>930</v>
      </c>
      <c r="C366" s="11">
        <f t="shared" si="35"/>
        <v>197.36</v>
      </c>
      <c r="D366" s="146">
        <f t="shared" si="32"/>
        <v>197.18568280784376</v>
      </c>
      <c r="E366" s="146">
        <f t="shared" si="33"/>
        <v>0.17431719215625208</v>
      </c>
      <c r="F366" s="147">
        <f t="shared" si="34"/>
        <v>8.8402560304601252E-4</v>
      </c>
    </row>
    <row r="367" spans="2:6">
      <c r="B367" s="148">
        <v>940</v>
      </c>
      <c r="C367" s="11">
        <f t="shared" si="35"/>
        <v>198.88</v>
      </c>
      <c r="D367" s="146">
        <f t="shared" si="32"/>
        <v>198.66463399405654</v>
      </c>
      <c r="E367" s="146">
        <f t="shared" si="33"/>
        <v>0.21536600594345146</v>
      </c>
      <c r="F367" s="147">
        <f t="shared" si="34"/>
        <v>1.0840681686197229E-3</v>
      </c>
    </row>
    <row r="368" spans="2:6">
      <c r="B368" s="148">
        <v>950</v>
      </c>
      <c r="C368" s="11">
        <f t="shared" si="35"/>
        <v>200.4</v>
      </c>
      <c r="D368" s="146">
        <f t="shared" si="32"/>
        <v>200.1667632676112</v>
      </c>
      <c r="E368" s="146">
        <f t="shared" si="33"/>
        <v>0.2332367323888036</v>
      </c>
      <c r="F368" s="147">
        <f t="shared" si="34"/>
        <v>1.165212089066836E-3</v>
      </c>
    </row>
    <row r="369" spans="2:6">
      <c r="B369" s="148">
        <v>960</v>
      </c>
      <c r="C369" s="11">
        <f t="shared" si="35"/>
        <v>201.92</v>
      </c>
      <c r="D369" s="146">
        <f t="shared" si="32"/>
        <v>201.7003376653679</v>
      </c>
      <c r="E369" s="146">
        <f t="shared" si="33"/>
        <v>0.21966233463209051</v>
      </c>
      <c r="F369" s="147">
        <f t="shared" si="34"/>
        <v>1.0890528849609726E-3</v>
      </c>
    </row>
    <row r="370" spans="2:6">
      <c r="B370" s="148">
        <v>970</v>
      </c>
      <c r="C370" s="11">
        <f t="shared" si="35"/>
        <v>203.44</v>
      </c>
      <c r="D370" s="146">
        <f t="shared" si="32"/>
        <v>203.27458424124063</v>
      </c>
      <c r="E370" s="146">
        <f t="shared" si="33"/>
        <v>0.16541575875936587</v>
      </c>
      <c r="F370" s="147">
        <f t="shared" si="34"/>
        <v>8.1375524331694926E-4</v>
      </c>
    </row>
    <row r="371" spans="2:6">
      <c r="B371" s="148">
        <v>980</v>
      </c>
      <c r="C371" s="11">
        <f t="shared" si="35"/>
        <v>204.96</v>
      </c>
      <c r="D371" s="146">
        <f t="shared" si="32"/>
        <v>204.89974882328369</v>
      </c>
      <c r="E371" s="146">
        <f t="shared" si="33"/>
        <v>6.0251176716320742E-2</v>
      </c>
      <c r="F371" s="147">
        <f t="shared" si="34"/>
        <v>2.9405197938170424E-4</v>
      </c>
    </row>
    <row r="372" spans="2:6">
      <c r="B372" s="148">
        <v>990</v>
      </c>
      <c r="C372" s="11">
        <f t="shared" si="35"/>
        <v>206.48</v>
      </c>
      <c r="D372" s="146">
        <f t="shared" si="32"/>
        <v>206.58715633260158</v>
      </c>
      <c r="E372" s="146">
        <f t="shared" si="33"/>
        <v>-0.10715633260159052</v>
      </c>
      <c r="F372" s="147">
        <f t="shared" si="34"/>
        <v>-5.1869794087811005E-4</v>
      </c>
    </row>
    <row r="373" spans="2:6">
      <c r="B373" s="145">
        <v>1000</v>
      </c>
      <c r="C373" s="10">
        <v>208</v>
      </c>
      <c r="D373" s="146">
        <f t="shared" si="32"/>
        <v>211.08867914000001</v>
      </c>
      <c r="E373" s="146">
        <f t="shared" si="33"/>
        <v>-3.0886791400000106</v>
      </c>
      <c r="F373" s="147">
        <f t="shared" si="34"/>
        <v>-1.4632140163004737E-2</v>
      </c>
    </row>
    <row r="374" spans="2:6">
      <c r="B374" s="148">
        <v>1010</v>
      </c>
      <c r="C374" s="11">
        <f t="shared" ref="C374:C397" si="36">C$398-(B$398-B374)*((C$398-C$373)/(B$398-B$373))</f>
        <v>209.24</v>
      </c>
      <c r="D374" s="146">
        <f t="shared" si="32"/>
        <v>212.29922710588735</v>
      </c>
      <c r="E374" s="146">
        <f t="shared" si="33"/>
        <v>-3.059227105887345</v>
      </c>
      <c r="F374" s="147">
        <f t="shared" si="34"/>
        <v>-1.4409977594320278E-2</v>
      </c>
    </row>
    <row r="375" spans="2:6">
      <c r="B375" s="148">
        <v>1020</v>
      </c>
      <c r="C375" s="11">
        <f t="shared" si="36"/>
        <v>210.48</v>
      </c>
      <c r="D375" s="146">
        <f t="shared" si="32"/>
        <v>213.50930997730958</v>
      </c>
      <c r="E375" s="146">
        <f t="shared" si="33"/>
        <v>-3.0293099773095946</v>
      </c>
      <c r="F375" s="147">
        <f t="shared" si="34"/>
        <v>-1.4188186817856052E-2</v>
      </c>
    </row>
    <row r="376" spans="2:6">
      <c r="B376" s="148">
        <v>1030</v>
      </c>
      <c r="C376" s="11">
        <f t="shared" si="36"/>
        <v>211.72</v>
      </c>
      <c r="D376" s="146">
        <f t="shared" si="32"/>
        <v>214.71892825082443</v>
      </c>
      <c r="E376" s="146">
        <f t="shared" si="33"/>
        <v>-2.9989282508244344</v>
      </c>
      <c r="F376" s="147">
        <f t="shared" si="34"/>
        <v>-1.3966762386785181E-2</v>
      </c>
    </row>
    <row r="377" spans="2:6">
      <c r="B377" s="148">
        <v>1040</v>
      </c>
      <c r="C377" s="11">
        <f t="shared" si="36"/>
        <v>212.96</v>
      </c>
      <c r="D377" s="146">
        <f t="shared" si="32"/>
        <v>215.92808242274609</v>
      </c>
      <c r="E377" s="146">
        <f t="shared" si="33"/>
        <v>-2.9680824227460789</v>
      </c>
      <c r="F377" s="147">
        <f t="shared" si="34"/>
        <v>-1.3745698982011723E-2</v>
      </c>
    </row>
    <row r="378" spans="2:6">
      <c r="B378" s="148">
        <v>1050</v>
      </c>
      <c r="C378" s="11">
        <f t="shared" si="36"/>
        <v>214.2</v>
      </c>
      <c r="D378" s="146">
        <f t="shared" si="32"/>
        <v>217.1367729891453</v>
      </c>
      <c r="E378" s="146">
        <f t="shared" si="33"/>
        <v>-2.9367729891453109</v>
      </c>
      <c r="F378" s="147">
        <f t="shared" si="34"/>
        <v>-1.3524991408489395E-2</v>
      </c>
    </row>
    <row r="379" spans="2:6">
      <c r="B379" s="148">
        <v>1060</v>
      </c>
      <c r="C379" s="11">
        <f t="shared" si="36"/>
        <v>215.44</v>
      </c>
      <c r="D379" s="146">
        <f t="shared" si="32"/>
        <v>218.34500044584934</v>
      </c>
      <c r="E379" s="146">
        <f t="shared" si="33"/>
        <v>-2.905000445849339</v>
      </c>
      <c r="F379" s="147">
        <f t="shared" si="34"/>
        <v>-1.3304634591666753E-2</v>
      </c>
    </row>
    <row r="380" spans="2:6">
      <c r="B380" s="148">
        <v>1070</v>
      </c>
      <c r="C380" s="11">
        <f t="shared" si="36"/>
        <v>216.68</v>
      </c>
      <c r="D380" s="146">
        <f t="shared" si="32"/>
        <v>219.55276528844169</v>
      </c>
      <c r="E380" s="146">
        <f t="shared" si="33"/>
        <v>-2.8727652884416841</v>
      </c>
      <c r="F380" s="147">
        <f t="shared" si="34"/>
        <v>-1.3084623574053045E-2</v>
      </c>
    </row>
    <row r="381" spans="2:6">
      <c r="B381" s="148">
        <v>1080</v>
      </c>
      <c r="C381" s="11">
        <f t="shared" si="36"/>
        <v>217.92000000000002</v>
      </c>
      <c r="D381" s="146">
        <f t="shared" si="32"/>
        <v>220.76006801226291</v>
      </c>
      <c r="E381" s="146">
        <f t="shared" si="33"/>
        <v>-2.8400680122628899</v>
      </c>
      <c r="F381" s="147">
        <f t="shared" si="34"/>
        <v>-1.2864953511905641E-2</v>
      </c>
    </row>
    <row r="382" spans="2:6">
      <c r="B382" s="148">
        <v>1090</v>
      </c>
      <c r="C382" s="11">
        <f t="shared" si="36"/>
        <v>219.16</v>
      </c>
      <c r="D382" s="146">
        <f t="shared" si="32"/>
        <v>221.96690911240955</v>
      </c>
      <c r="E382" s="146">
        <f t="shared" si="33"/>
        <v>-2.8069091124095564</v>
      </c>
      <c r="F382" s="147">
        <f t="shared" si="34"/>
        <v>-1.2645619672020825E-2</v>
      </c>
    </row>
    <row r="383" spans="2:6">
      <c r="B383" s="148">
        <v>1100</v>
      </c>
      <c r="C383" s="11">
        <f t="shared" si="36"/>
        <v>220.4</v>
      </c>
      <c r="D383" s="146">
        <f t="shared" si="32"/>
        <v>223.17328908373503</v>
      </c>
      <c r="E383" s="146">
        <f t="shared" si="33"/>
        <v>-2.7732890837350226</v>
      </c>
      <c r="F383" s="147">
        <f t="shared" si="34"/>
        <v>-1.2426617428640707E-2</v>
      </c>
    </row>
    <row r="384" spans="2:6">
      <c r="B384" s="148">
        <v>1110</v>
      </c>
      <c r="C384" s="11">
        <f t="shared" si="36"/>
        <v>221.64</v>
      </c>
      <c r="D384" s="146">
        <f t="shared" si="32"/>
        <v>224.3792084208489</v>
      </c>
      <c r="E384" s="146">
        <f t="shared" si="33"/>
        <v>-2.7392084208489109</v>
      </c>
      <c r="F384" s="147">
        <f t="shared" si="34"/>
        <v>-1.2207942260457627E-2</v>
      </c>
    </row>
    <row r="385" spans="2:6">
      <c r="B385" s="148">
        <v>1120</v>
      </c>
      <c r="C385" s="11">
        <f t="shared" si="36"/>
        <v>222.88</v>
      </c>
      <c r="D385" s="146">
        <f t="shared" si="32"/>
        <v>225.58466761811769</v>
      </c>
      <c r="E385" s="146">
        <f t="shared" si="33"/>
        <v>-2.7046676181176963</v>
      </c>
      <c r="F385" s="147">
        <f t="shared" si="34"/>
        <v>-1.1989589747723017E-2</v>
      </c>
    </row>
    <row r="386" spans="2:6">
      <c r="B386" s="148">
        <v>1130</v>
      </c>
      <c r="C386" s="11">
        <f t="shared" si="36"/>
        <v>224.12</v>
      </c>
      <c r="D386" s="146">
        <f t="shared" si="32"/>
        <v>226.78966716966386</v>
      </c>
      <c r="E386" s="146">
        <f t="shared" si="33"/>
        <v>-2.6696671696638532</v>
      </c>
      <c r="F386" s="147">
        <f t="shared" si="34"/>
        <v>-1.1771555569445979E-2</v>
      </c>
    </row>
    <row r="387" spans="2:6">
      <c r="B387" s="148">
        <v>1140</v>
      </c>
      <c r="C387" s="11">
        <f t="shared" si="36"/>
        <v>225.36</v>
      </c>
      <c r="D387" s="146">
        <f t="shared" si="32"/>
        <v>227.99420756936706</v>
      </c>
      <c r="E387" s="146">
        <f t="shared" si="33"/>
        <v>-2.6342075693670495</v>
      </c>
      <c r="F387" s="147">
        <f t="shared" si="34"/>
        <v>-1.1553835500691778E-2</v>
      </c>
    </row>
    <row r="388" spans="2:6">
      <c r="B388" s="148">
        <v>1150</v>
      </c>
      <c r="C388" s="11">
        <f t="shared" si="36"/>
        <v>226.6</v>
      </c>
      <c r="D388" s="146">
        <f t="shared" ref="D388:D441" si="37">IF(B388=0,0,IF(B388&lt;30,($O$28*B388^6)+($O$29*B388^5)+($O$30*B388^4)+($O$31*B388^3)+($O$32*B388^2)+($O$33*B388)+$O$34,IF(B388&lt;250,($O$19*B388^6)+($O$20*B388^5)+($O$21*B388^4)+($O$22*B388^3)+($O$23*B388^2)+($O$24*B388)+$O$25,IF(B388&lt;1000,($O$10*B388^6)+($O$11*B388^5)+($O$12*B388^4)+($O$13*B388^3)+($O$14*B388^2)+($O$15*B388)+$O$16,IF(B388&lt;9000,(0.8759882+1.259865*(B388/1000)-0.02582505*(B388/1000)^2+0.0008687869*(B388/1000)^3-0.0000101455*(B388/1000)^4)*100,(0.095*B388)+205)))))</f>
        <v>229.19828931086278</v>
      </c>
      <c r="E388" s="146">
        <f t="shared" ref="E388:E441" si="38">C388-D388</f>
        <v>-2.598289310862782</v>
      </c>
      <c r="F388" s="147">
        <f t="shared" ref="F388:F441" si="39">C388/D388-1</f>
        <v>-1.1336425409958939E-2</v>
      </c>
    </row>
    <row r="389" spans="2:6">
      <c r="B389" s="148">
        <v>1160</v>
      </c>
      <c r="C389" s="11">
        <f t="shared" si="36"/>
        <v>227.84</v>
      </c>
      <c r="D389" s="146">
        <f t="shared" si="37"/>
        <v>230.40191288754355</v>
      </c>
      <c r="E389" s="146">
        <f t="shared" si="38"/>
        <v>-2.5619128875435422</v>
      </c>
      <c r="F389" s="147">
        <f t="shared" si="39"/>
        <v>-1.111932125665116E-2</v>
      </c>
    </row>
    <row r="390" spans="2:6">
      <c r="B390" s="148">
        <v>1170</v>
      </c>
      <c r="C390" s="11">
        <f t="shared" si="36"/>
        <v>229.08</v>
      </c>
      <c r="D390" s="146">
        <f t="shared" si="37"/>
        <v>231.60507879255809</v>
      </c>
      <c r="E390" s="146">
        <f t="shared" si="38"/>
        <v>-2.5250787925580767</v>
      </c>
      <c r="F390" s="147">
        <f t="shared" si="39"/>
        <v>-1.0902519088623719E-2</v>
      </c>
    </row>
    <row r="391" spans="2:6">
      <c r="B391" s="148">
        <v>1180</v>
      </c>
      <c r="C391" s="11">
        <f t="shared" si="36"/>
        <v>230.32</v>
      </c>
      <c r="D391" s="146">
        <f t="shared" si="37"/>
        <v>232.80778751881166</v>
      </c>
      <c r="E391" s="146">
        <f t="shared" si="38"/>
        <v>-2.4877875188116718</v>
      </c>
      <c r="F391" s="147">
        <f t="shared" si="39"/>
        <v>-1.0686015039813257E-2</v>
      </c>
    </row>
    <row r="392" spans="2:6">
      <c r="B392" s="148">
        <v>1190</v>
      </c>
      <c r="C392" s="11">
        <f t="shared" si="36"/>
        <v>231.56</v>
      </c>
      <c r="D392" s="146">
        <f t="shared" si="37"/>
        <v>234.01003955896618</v>
      </c>
      <c r="E392" s="146">
        <f t="shared" si="38"/>
        <v>-2.4500395589661821</v>
      </c>
      <c r="F392" s="147">
        <f t="shared" si="39"/>
        <v>-1.0469805327941173E-2</v>
      </c>
    </row>
    <row r="393" spans="2:6">
      <c r="B393" s="148">
        <v>1200</v>
      </c>
      <c r="C393" s="11">
        <f t="shared" si="36"/>
        <v>232.8</v>
      </c>
      <c r="D393" s="146">
        <f t="shared" si="37"/>
        <v>235.21183540543998</v>
      </c>
      <c r="E393" s="146">
        <f t="shared" si="38"/>
        <v>-2.4118354054399731</v>
      </c>
      <c r="F393" s="147">
        <f t="shared" si="39"/>
        <v>-1.0253886252290956E-2</v>
      </c>
    </row>
    <row r="394" spans="2:6">
      <c r="B394" s="148">
        <v>1210</v>
      </c>
      <c r="C394" s="11">
        <f t="shared" si="36"/>
        <v>234.04</v>
      </c>
      <c r="D394" s="146">
        <f t="shared" si="37"/>
        <v>236.41317555040791</v>
      </c>
      <c r="E394" s="146">
        <f t="shared" si="38"/>
        <v>-2.3731755504079217</v>
      </c>
      <c r="F394" s="147">
        <f t="shared" si="39"/>
        <v>-1.0038254191555906E-2</v>
      </c>
    </row>
    <row r="395" spans="2:6">
      <c r="B395" s="148">
        <v>1220</v>
      </c>
      <c r="C395" s="11">
        <f t="shared" si="36"/>
        <v>235.28</v>
      </c>
      <c r="D395" s="146">
        <f t="shared" si="37"/>
        <v>237.61406048580125</v>
      </c>
      <c r="E395" s="146">
        <f t="shared" si="38"/>
        <v>-2.3340604858012455</v>
      </c>
      <c r="F395" s="147">
        <f t="shared" si="39"/>
        <v>-9.8229056017529182E-3</v>
      </c>
    </row>
    <row r="396" spans="2:6">
      <c r="B396" s="148">
        <v>1230</v>
      </c>
      <c r="C396" s="11">
        <f t="shared" si="36"/>
        <v>236.52</v>
      </c>
      <c r="D396" s="146">
        <f t="shared" si="37"/>
        <v>238.81449070330797</v>
      </c>
      <c r="E396" s="146">
        <f t="shared" si="38"/>
        <v>-2.2944907033079573</v>
      </c>
      <c r="F396" s="147">
        <f t="shared" si="39"/>
        <v>-9.6078370142058667E-3</v>
      </c>
    </row>
    <row r="397" spans="2:6">
      <c r="B397" s="148">
        <v>1240</v>
      </c>
      <c r="C397" s="11">
        <f t="shared" si="36"/>
        <v>237.76</v>
      </c>
      <c r="D397" s="146">
        <f t="shared" si="37"/>
        <v>240.01446669437235</v>
      </c>
      <c r="E397" s="146">
        <f t="shared" si="38"/>
        <v>-2.2544666943723541</v>
      </c>
      <c r="F397" s="147">
        <f t="shared" si="39"/>
        <v>-9.3930450335859561E-3</v>
      </c>
    </row>
    <row r="398" spans="2:6">
      <c r="B398" s="145">
        <v>1250</v>
      </c>
      <c r="C398" s="10">
        <v>239</v>
      </c>
      <c r="D398" s="146">
        <f t="shared" si="37"/>
        <v>241.21398895019533</v>
      </c>
      <c r="E398" s="146">
        <f t="shared" si="38"/>
        <v>-2.2139889501953292</v>
      </c>
      <c r="F398" s="147">
        <f t="shared" si="39"/>
        <v>-9.1785263360180114E-3</v>
      </c>
    </row>
    <row r="399" spans="2:6">
      <c r="B399" s="145">
        <v>1500</v>
      </c>
      <c r="C399" s="10">
        <v>269</v>
      </c>
      <c r="D399" s="146">
        <f t="shared" si="37"/>
        <v>271.05601316937503</v>
      </c>
      <c r="E399" s="146">
        <f t="shared" si="38"/>
        <v>-2.056013169375035</v>
      </c>
      <c r="F399" s="147">
        <f t="shared" si="39"/>
        <v>-7.5851966733174736E-3</v>
      </c>
    </row>
    <row r="400" spans="2:6">
      <c r="B400" s="145">
        <v>1750</v>
      </c>
      <c r="C400" s="10">
        <v>297</v>
      </c>
      <c r="D400" s="146">
        <f t="shared" si="37"/>
        <v>300.62237354738284</v>
      </c>
      <c r="E400" s="146">
        <f t="shared" si="38"/>
        <v>-3.6223735473828356</v>
      </c>
      <c r="F400" s="147">
        <f t="shared" si="39"/>
        <v>-1.2049580690347006E-2</v>
      </c>
    </row>
    <row r="401" spans="2:10">
      <c r="B401" s="145">
        <v>2000</v>
      </c>
      <c r="C401" s="10">
        <v>325</v>
      </c>
      <c r="D401" s="146">
        <f t="shared" si="37"/>
        <v>329.92059671999999</v>
      </c>
      <c r="E401" s="146">
        <f t="shared" si="38"/>
        <v>-4.9205967199999918</v>
      </c>
      <c r="F401" s="147">
        <f t="shared" si="39"/>
        <v>-1.4914487815915423E-2</v>
      </c>
    </row>
    <row r="402" spans="2:10">
      <c r="B402" s="145">
        <v>2500</v>
      </c>
      <c r="C402" s="142">
        <v>380</v>
      </c>
      <c r="D402" s="146">
        <f t="shared" si="37"/>
        <v>387.74226242187501</v>
      </c>
      <c r="E402" s="146">
        <f t="shared" si="38"/>
        <v>-7.7422624218750116</v>
      </c>
      <c r="F402" s="147">
        <f t="shared" si="39"/>
        <v>-1.9967548477991759E-2</v>
      </c>
    </row>
    <row r="403" spans="2:10">
      <c r="B403" s="145">
        <v>3000</v>
      </c>
      <c r="C403" s="142">
        <v>433</v>
      </c>
      <c r="D403" s="146">
        <f t="shared" si="37"/>
        <v>444.57932107999989</v>
      </c>
      <c r="E403" s="146">
        <f t="shared" si="38"/>
        <v>-11.579321079999886</v>
      </c>
      <c r="F403" s="147">
        <f t="shared" si="39"/>
        <v>-2.6045568318091572E-2</v>
      </c>
    </row>
    <row r="404" spans="2:10">
      <c r="B404" s="145">
        <v>4000</v>
      </c>
      <c r="C404" s="142">
        <v>535</v>
      </c>
      <c r="D404" s="146">
        <f t="shared" si="37"/>
        <v>555.52525135999997</v>
      </c>
      <c r="E404" s="146">
        <f t="shared" si="38"/>
        <v>-20.52525135999997</v>
      </c>
      <c r="F404" s="147">
        <f t="shared" si="39"/>
        <v>-3.6947467841923376E-2</v>
      </c>
    </row>
    <row r="405" spans="2:10">
      <c r="B405" s="145">
        <v>5000</v>
      </c>
      <c r="C405" s="142">
        <v>593</v>
      </c>
      <c r="D405" s="146">
        <f t="shared" si="37"/>
        <v>663.19443749999994</v>
      </c>
      <c r="E405" s="146">
        <f t="shared" si="38"/>
        <v>-70.194437499999935</v>
      </c>
      <c r="F405" s="147">
        <f t="shared" si="39"/>
        <v>-0.1058429225742713</v>
      </c>
    </row>
    <row r="406" spans="2:10">
      <c r="B406" s="145">
        <v>5380</v>
      </c>
      <c r="C406" s="142">
        <v>700</v>
      </c>
      <c r="D406" s="146">
        <f t="shared" si="37"/>
        <v>703.33598967751834</v>
      </c>
      <c r="E406" s="146">
        <f t="shared" si="38"/>
        <v>-3.3359896775183415</v>
      </c>
      <c r="F406" s="147">
        <f t="shared" si="39"/>
        <v>-4.7430953718832214E-3</v>
      </c>
    </row>
    <row r="407" spans="2:10">
      <c r="B407" s="145">
        <v>6280</v>
      </c>
      <c r="C407" s="10">
        <v>800</v>
      </c>
      <c r="D407" s="146">
        <f t="shared" si="37"/>
        <v>796.88367552078012</v>
      </c>
      <c r="E407" s="146">
        <f t="shared" si="38"/>
        <v>3.1163244792198839</v>
      </c>
      <c r="F407" s="147">
        <f t="shared" si="39"/>
        <v>3.9106391245664618E-3</v>
      </c>
    </row>
    <row r="408" spans="2:10">
      <c r="B408" s="145">
        <v>7280</v>
      </c>
      <c r="C408" s="10">
        <v>900</v>
      </c>
      <c r="D408" s="146">
        <f t="shared" si="37"/>
        <v>898.58246990970156</v>
      </c>
      <c r="E408" s="146">
        <f t="shared" si="38"/>
        <v>1.4175300902984418</v>
      </c>
      <c r="F408" s="147">
        <f t="shared" si="39"/>
        <v>1.5775180773789366E-3</v>
      </c>
    </row>
    <row r="409" spans="2:10">
      <c r="B409" s="145">
        <v>8300</v>
      </c>
      <c r="C409" s="10">
        <v>1000</v>
      </c>
      <c r="D409" s="146">
        <f t="shared" si="37"/>
        <v>1000.2392221119752</v>
      </c>
      <c r="E409" s="146">
        <f t="shared" si="38"/>
        <v>-0.23922211197520937</v>
      </c>
      <c r="F409" s="147">
        <f t="shared" si="39"/>
        <v>-2.3916489844311162E-4</v>
      </c>
    </row>
    <row r="410" spans="2:10">
      <c r="B410" s="145">
        <v>9000</v>
      </c>
      <c r="C410" s="10">
        <v>1060</v>
      </c>
      <c r="D410" s="146">
        <f t="shared" si="37"/>
        <v>1060</v>
      </c>
      <c r="E410" s="146">
        <f t="shared" si="38"/>
        <v>0</v>
      </c>
      <c r="F410" s="147">
        <f t="shared" si="39"/>
        <v>0</v>
      </c>
      <c r="H410" s="140"/>
      <c r="I410" s="140"/>
      <c r="J410" s="141"/>
    </row>
    <row r="411" spans="2:10">
      <c r="B411" s="145">
        <v>10000</v>
      </c>
      <c r="C411" s="10">
        <v>1155</v>
      </c>
      <c r="D411" s="146">
        <f t="shared" si="37"/>
        <v>1155</v>
      </c>
      <c r="E411" s="146">
        <f t="shared" si="38"/>
        <v>0</v>
      </c>
      <c r="F411" s="147">
        <f t="shared" si="39"/>
        <v>0</v>
      </c>
      <c r="H411" s="140"/>
      <c r="I411" s="140"/>
      <c r="J411" s="141"/>
    </row>
    <row r="412" spans="2:10">
      <c r="B412" s="145">
        <v>11000</v>
      </c>
      <c r="C412" s="10">
        <v>1250</v>
      </c>
      <c r="D412" s="146">
        <f t="shared" si="37"/>
        <v>1250</v>
      </c>
      <c r="E412" s="146">
        <f t="shared" si="38"/>
        <v>0</v>
      </c>
      <c r="F412" s="147">
        <f t="shared" si="39"/>
        <v>0</v>
      </c>
      <c r="H412" s="140"/>
      <c r="I412" s="140"/>
      <c r="J412" s="141"/>
    </row>
    <row r="413" spans="2:10">
      <c r="B413" s="145">
        <v>12000</v>
      </c>
      <c r="C413" s="10">
        <v>1345</v>
      </c>
      <c r="D413" s="146">
        <f t="shared" si="37"/>
        <v>1345</v>
      </c>
      <c r="E413" s="146">
        <f t="shared" si="38"/>
        <v>0</v>
      </c>
      <c r="F413" s="147">
        <f t="shared" si="39"/>
        <v>0</v>
      </c>
      <c r="H413" s="140"/>
      <c r="I413" s="140"/>
      <c r="J413" s="141"/>
    </row>
    <row r="414" spans="2:10">
      <c r="B414" s="145">
        <v>13000</v>
      </c>
      <c r="C414" s="10">
        <v>1440</v>
      </c>
      <c r="D414" s="146">
        <f t="shared" si="37"/>
        <v>1440</v>
      </c>
      <c r="E414" s="146">
        <f t="shared" si="38"/>
        <v>0</v>
      </c>
      <c r="F414" s="147">
        <f t="shared" si="39"/>
        <v>0</v>
      </c>
      <c r="H414" s="140"/>
      <c r="I414" s="140"/>
      <c r="J414" s="141"/>
    </row>
    <row r="415" spans="2:10">
      <c r="B415" s="145">
        <v>14000</v>
      </c>
      <c r="C415" s="10">
        <v>1535</v>
      </c>
      <c r="D415" s="146">
        <f t="shared" si="37"/>
        <v>1535</v>
      </c>
      <c r="E415" s="146">
        <f t="shared" si="38"/>
        <v>0</v>
      </c>
      <c r="F415" s="147">
        <f t="shared" si="39"/>
        <v>0</v>
      </c>
      <c r="H415" s="140"/>
      <c r="I415" s="140"/>
      <c r="J415" s="141"/>
    </row>
    <row r="416" spans="2:10">
      <c r="B416" s="145">
        <v>15000</v>
      </c>
      <c r="C416" s="10">
        <v>1630</v>
      </c>
      <c r="D416" s="146">
        <f t="shared" si="37"/>
        <v>1630</v>
      </c>
      <c r="E416" s="146">
        <f t="shared" si="38"/>
        <v>0</v>
      </c>
      <c r="F416" s="147">
        <f t="shared" si="39"/>
        <v>0</v>
      </c>
      <c r="H416" s="140"/>
      <c r="I416" s="140"/>
      <c r="J416" s="141"/>
    </row>
    <row r="417" spans="2:10">
      <c r="B417" s="145">
        <v>16000</v>
      </c>
      <c r="C417" s="10">
        <v>1725</v>
      </c>
      <c r="D417" s="146">
        <f t="shared" si="37"/>
        <v>1725</v>
      </c>
      <c r="E417" s="146">
        <f t="shared" si="38"/>
        <v>0</v>
      </c>
      <c r="F417" s="147">
        <f t="shared" si="39"/>
        <v>0</v>
      </c>
      <c r="H417" s="140"/>
      <c r="I417" s="140"/>
      <c r="J417" s="141"/>
    </row>
    <row r="418" spans="2:10">
      <c r="B418" s="145">
        <v>17000</v>
      </c>
      <c r="C418" s="10">
        <v>1820</v>
      </c>
      <c r="D418" s="146">
        <f t="shared" si="37"/>
        <v>1820</v>
      </c>
      <c r="E418" s="146">
        <f t="shared" si="38"/>
        <v>0</v>
      </c>
      <c r="F418" s="147">
        <f t="shared" si="39"/>
        <v>0</v>
      </c>
      <c r="H418" s="140"/>
      <c r="I418" s="140"/>
      <c r="J418" s="141"/>
    </row>
    <row r="419" spans="2:10">
      <c r="B419" s="145">
        <v>18000</v>
      </c>
      <c r="C419" s="10">
        <v>1915</v>
      </c>
      <c r="D419" s="146">
        <f t="shared" si="37"/>
        <v>1915</v>
      </c>
      <c r="E419" s="146">
        <f t="shared" si="38"/>
        <v>0</v>
      </c>
      <c r="F419" s="147">
        <f t="shared" si="39"/>
        <v>0</v>
      </c>
      <c r="H419" s="140"/>
      <c r="I419" s="140"/>
      <c r="J419" s="141"/>
    </row>
    <row r="420" spans="2:10">
      <c r="B420" s="145">
        <v>19000</v>
      </c>
      <c r="C420" s="10">
        <v>2010</v>
      </c>
      <c r="D420" s="146">
        <f t="shared" si="37"/>
        <v>2010</v>
      </c>
      <c r="E420" s="146">
        <f t="shared" si="38"/>
        <v>0</v>
      </c>
      <c r="F420" s="147">
        <f t="shared" si="39"/>
        <v>0</v>
      </c>
      <c r="H420" s="140"/>
      <c r="I420" s="140"/>
      <c r="J420" s="141"/>
    </row>
    <row r="421" spans="2:10">
      <c r="B421" s="145">
        <v>20000</v>
      </c>
      <c r="C421" s="10">
        <v>2105</v>
      </c>
      <c r="D421" s="146">
        <f t="shared" si="37"/>
        <v>2105</v>
      </c>
      <c r="E421" s="146">
        <f t="shared" si="38"/>
        <v>0</v>
      </c>
      <c r="F421" s="147">
        <f t="shared" si="39"/>
        <v>0</v>
      </c>
      <c r="H421" s="140"/>
      <c r="I421" s="140"/>
      <c r="J421" s="141"/>
    </row>
    <row r="422" spans="2:10">
      <c r="B422" s="145">
        <v>21000</v>
      </c>
      <c r="C422" s="10">
        <v>2200</v>
      </c>
      <c r="D422" s="146">
        <f t="shared" si="37"/>
        <v>2200</v>
      </c>
      <c r="E422" s="146">
        <f t="shared" si="38"/>
        <v>0</v>
      </c>
      <c r="F422" s="147">
        <f t="shared" si="39"/>
        <v>0</v>
      </c>
      <c r="H422" s="140"/>
      <c r="I422" s="140"/>
      <c r="J422" s="141"/>
    </row>
    <row r="423" spans="2:10">
      <c r="B423" s="145">
        <v>22000</v>
      </c>
      <c r="C423" s="10">
        <v>2295</v>
      </c>
      <c r="D423" s="146">
        <f t="shared" si="37"/>
        <v>2295</v>
      </c>
      <c r="E423" s="146">
        <f t="shared" si="38"/>
        <v>0</v>
      </c>
      <c r="F423" s="147">
        <f t="shared" si="39"/>
        <v>0</v>
      </c>
      <c r="H423" s="140"/>
      <c r="I423" s="140"/>
      <c r="J423" s="141"/>
    </row>
    <row r="424" spans="2:10">
      <c r="B424" s="145">
        <v>23000</v>
      </c>
      <c r="C424" s="10">
        <v>2390</v>
      </c>
      <c r="D424" s="146">
        <f t="shared" si="37"/>
        <v>2390</v>
      </c>
      <c r="E424" s="146">
        <f t="shared" si="38"/>
        <v>0</v>
      </c>
      <c r="F424" s="147">
        <f t="shared" si="39"/>
        <v>0</v>
      </c>
      <c r="H424" s="140"/>
      <c r="I424" s="140"/>
      <c r="J424" s="141"/>
    </row>
    <row r="425" spans="2:10">
      <c r="B425" s="145">
        <v>24000</v>
      </c>
      <c r="C425" s="10">
        <v>2485</v>
      </c>
      <c r="D425" s="146">
        <f t="shared" si="37"/>
        <v>2485</v>
      </c>
      <c r="E425" s="146">
        <f t="shared" si="38"/>
        <v>0</v>
      </c>
      <c r="F425" s="147">
        <f t="shared" si="39"/>
        <v>0</v>
      </c>
      <c r="H425" s="140"/>
      <c r="I425" s="140"/>
      <c r="J425" s="141"/>
    </row>
    <row r="426" spans="2:10">
      <c r="B426" s="145">
        <v>25000</v>
      </c>
      <c r="C426" s="10">
        <v>2580</v>
      </c>
      <c r="D426" s="146">
        <f t="shared" si="37"/>
        <v>2580</v>
      </c>
      <c r="E426" s="146">
        <f t="shared" si="38"/>
        <v>0</v>
      </c>
      <c r="F426" s="147">
        <f t="shared" si="39"/>
        <v>0</v>
      </c>
      <c r="H426" s="140"/>
      <c r="I426" s="140"/>
      <c r="J426" s="141"/>
    </row>
    <row r="427" spans="2:10">
      <c r="B427" s="145">
        <v>26000</v>
      </c>
      <c r="C427" s="10">
        <v>2675</v>
      </c>
      <c r="D427" s="146">
        <f t="shared" si="37"/>
        <v>2675</v>
      </c>
      <c r="E427" s="146">
        <f t="shared" si="38"/>
        <v>0</v>
      </c>
      <c r="F427" s="147">
        <f t="shared" si="39"/>
        <v>0</v>
      </c>
      <c r="H427" s="140"/>
      <c r="I427" s="140"/>
      <c r="J427" s="141"/>
    </row>
    <row r="428" spans="2:10">
      <c r="B428" s="145">
        <v>27000</v>
      </c>
      <c r="C428" s="10">
        <v>2770</v>
      </c>
      <c r="D428" s="146">
        <f t="shared" si="37"/>
        <v>2770</v>
      </c>
      <c r="E428" s="146">
        <f t="shared" si="38"/>
        <v>0</v>
      </c>
      <c r="F428" s="147">
        <f t="shared" si="39"/>
        <v>0</v>
      </c>
      <c r="H428" s="140"/>
      <c r="I428" s="140"/>
      <c r="J428" s="141"/>
    </row>
    <row r="429" spans="2:10">
      <c r="B429" s="145">
        <v>28000</v>
      </c>
      <c r="C429" s="10">
        <v>2865</v>
      </c>
      <c r="D429" s="146">
        <f t="shared" si="37"/>
        <v>2865</v>
      </c>
      <c r="E429" s="146">
        <f t="shared" si="38"/>
        <v>0</v>
      </c>
      <c r="F429" s="147">
        <f t="shared" si="39"/>
        <v>0</v>
      </c>
      <c r="H429" s="140"/>
      <c r="I429" s="140"/>
      <c r="J429" s="141"/>
    </row>
    <row r="430" spans="2:10">
      <c r="B430" s="145">
        <v>29000</v>
      </c>
      <c r="C430" s="10">
        <v>2960</v>
      </c>
      <c r="D430" s="146">
        <f t="shared" si="37"/>
        <v>2960</v>
      </c>
      <c r="E430" s="146">
        <f t="shared" si="38"/>
        <v>0</v>
      </c>
      <c r="F430" s="147">
        <f t="shared" si="39"/>
        <v>0</v>
      </c>
      <c r="H430" s="140"/>
      <c r="I430" s="140"/>
      <c r="J430" s="141"/>
    </row>
    <row r="431" spans="2:10">
      <c r="B431" s="145">
        <v>30000</v>
      </c>
      <c r="C431" s="10">
        <v>3055</v>
      </c>
      <c r="D431" s="146">
        <f t="shared" si="37"/>
        <v>3055</v>
      </c>
      <c r="E431" s="146">
        <f t="shared" si="38"/>
        <v>0</v>
      </c>
      <c r="F431" s="147">
        <f t="shared" si="39"/>
        <v>0</v>
      </c>
      <c r="H431" s="140"/>
      <c r="I431" s="140"/>
      <c r="J431" s="141"/>
    </row>
    <row r="432" spans="2:10">
      <c r="B432" s="150">
        <v>31000</v>
      </c>
      <c r="C432" s="10">
        <v>3150</v>
      </c>
      <c r="D432" s="146">
        <f t="shared" si="37"/>
        <v>3150</v>
      </c>
      <c r="E432" s="146">
        <f t="shared" si="38"/>
        <v>0</v>
      </c>
      <c r="F432" s="147">
        <f t="shared" si="39"/>
        <v>0</v>
      </c>
      <c r="H432" s="140"/>
      <c r="I432" s="140"/>
      <c r="J432" s="141"/>
    </row>
    <row r="433" spans="2:10">
      <c r="B433" s="150">
        <v>32000</v>
      </c>
      <c r="C433" s="10">
        <v>3245</v>
      </c>
      <c r="D433" s="146">
        <f t="shared" si="37"/>
        <v>3245</v>
      </c>
      <c r="E433" s="146">
        <f t="shared" si="38"/>
        <v>0</v>
      </c>
      <c r="F433" s="147">
        <f t="shared" si="39"/>
        <v>0</v>
      </c>
      <c r="H433" s="140"/>
      <c r="I433" s="140"/>
      <c r="J433" s="141"/>
    </row>
    <row r="434" spans="2:10">
      <c r="B434" s="150">
        <v>33000</v>
      </c>
      <c r="C434" s="10">
        <v>3340</v>
      </c>
      <c r="D434" s="146">
        <f t="shared" si="37"/>
        <v>3340</v>
      </c>
      <c r="E434" s="146">
        <f t="shared" si="38"/>
        <v>0</v>
      </c>
      <c r="F434" s="147">
        <f t="shared" si="39"/>
        <v>0</v>
      </c>
      <c r="H434" s="140"/>
      <c r="I434" s="140"/>
      <c r="J434" s="141"/>
    </row>
    <row r="435" spans="2:10">
      <c r="B435" s="150">
        <v>34000</v>
      </c>
      <c r="C435" s="10">
        <v>3435</v>
      </c>
      <c r="D435" s="146">
        <f t="shared" si="37"/>
        <v>3435</v>
      </c>
      <c r="E435" s="146">
        <f t="shared" si="38"/>
        <v>0</v>
      </c>
      <c r="F435" s="147">
        <f t="shared" si="39"/>
        <v>0</v>
      </c>
      <c r="H435" s="140"/>
      <c r="I435" s="140"/>
      <c r="J435" s="141"/>
    </row>
    <row r="436" spans="2:10">
      <c r="B436" s="150">
        <v>35000</v>
      </c>
      <c r="C436" s="10">
        <v>3530</v>
      </c>
      <c r="D436" s="146">
        <f t="shared" si="37"/>
        <v>3530</v>
      </c>
      <c r="E436" s="146">
        <f t="shared" si="38"/>
        <v>0</v>
      </c>
      <c r="F436" s="147">
        <f t="shared" si="39"/>
        <v>0</v>
      </c>
      <c r="H436" s="140"/>
      <c r="I436" s="140"/>
      <c r="J436" s="141"/>
    </row>
    <row r="437" spans="2:10">
      <c r="B437" s="150">
        <v>36000</v>
      </c>
      <c r="C437" s="10">
        <v>3625</v>
      </c>
      <c r="D437" s="146">
        <f t="shared" si="37"/>
        <v>3625</v>
      </c>
      <c r="E437" s="146">
        <f t="shared" si="38"/>
        <v>0</v>
      </c>
      <c r="F437" s="147">
        <f t="shared" si="39"/>
        <v>0</v>
      </c>
      <c r="H437" s="140"/>
      <c r="I437" s="140"/>
      <c r="J437" s="141"/>
    </row>
    <row r="438" spans="2:10">
      <c r="B438" s="150">
        <v>37000</v>
      </c>
      <c r="C438" s="10">
        <v>3720</v>
      </c>
      <c r="D438" s="146">
        <f t="shared" si="37"/>
        <v>3720</v>
      </c>
      <c r="E438" s="146">
        <f t="shared" si="38"/>
        <v>0</v>
      </c>
      <c r="F438" s="147">
        <f t="shared" si="39"/>
        <v>0</v>
      </c>
      <c r="H438" s="140"/>
      <c r="I438" s="140"/>
      <c r="J438" s="141"/>
    </row>
    <row r="439" spans="2:10">
      <c r="B439" s="150">
        <v>38000</v>
      </c>
      <c r="C439" s="10">
        <v>3815</v>
      </c>
      <c r="D439" s="146">
        <f t="shared" si="37"/>
        <v>3815</v>
      </c>
      <c r="E439" s="146">
        <f t="shared" si="38"/>
        <v>0</v>
      </c>
      <c r="F439" s="147">
        <f t="shared" si="39"/>
        <v>0</v>
      </c>
      <c r="H439" s="140"/>
      <c r="I439" s="140"/>
      <c r="J439" s="141"/>
    </row>
    <row r="440" spans="2:10">
      <c r="B440" s="150">
        <v>39000</v>
      </c>
      <c r="C440" s="10">
        <v>3910</v>
      </c>
      <c r="D440" s="146">
        <f t="shared" si="37"/>
        <v>3910</v>
      </c>
      <c r="E440" s="146">
        <f t="shared" si="38"/>
        <v>0</v>
      </c>
      <c r="F440" s="147">
        <f t="shared" si="39"/>
        <v>0</v>
      </c>
      <c r="H440" s="140"/>
      <c r="I440" s="140"/>
      <c r="J440" s="141"/>
    </row>
    <row r="441" spans="2:10" ht="13.5" thickBot="1">
      <c r="B441" s="151">
        <v>40000</v>
      </c>
      <c r="C441" s="152">
        <v>4005</v>
      </c>
      <c r="D441" s="153">
        <f t="shared" si="37"/>
        <v>4005</v>
      </c>
      <c r="E441" s="153">
        <f t="shared" si="38"/>
        <v>0</v>
      </c>
      <c r="F441" s="154">
        <f t="shared" si="39"/>
        <v>0</v>
      </c>
      <c r="H441" s="140"/>
      <c r="I441" s="140"/>
      <c r="J441" s="141"/>
    </row>
  </sheetData>
  <mergeCells count="1">
    <mergeCell ref="D2:F2"/>
  </mergeCells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4D2B1-271B-4045-B81E-D18219391214}">
  <sheetPr codeName="Sheet6">
    <tabColor theme="1"/>
  </sheetPr>
  <dimension ref="B1:S442"/>
  <sheetViews>
    <sheetView workbookViewId="0">
      <pane ySplit="3" topLeftCell="A4" activePane="bottomLeft" state="frozen"/>
      <selection pane="bottomLeft" activeCell="H13" sqref="H13"/>
    </sheetView>
  </sheetViews>
  <sheetFormatPr defaultColWidth="9.140625" defaultRowHeight="12.75"/>
  <cols>
    <col min="1" max="3" width="9.140625" style="8"/>
    <col min="4" max="4" width="11.85546875" style="140" bestFit="1" customWidth="1"/>
    <col min="5" max="5" width="11" style="140" bestFit="1" customWidth="1"/>
    <col min="6" max="6" width="9.140625" style="140"/>
    <col min="7" max="12" width="9.140625" style="8"/>
    <col min="13" max="13" width="7.85546875" style="8" customWidth="1"/>
    <col min="14" max="14" width="16.28515625" style="8" customWidth="1"/>
    <col min="15" max="16384" width="9.140625" style="8"/>
  </cols>
  <sheetData>
    <row r="1" spans="2:14" ht="13.5" thickBot="1"/>
    <row r="2" spans="2:14">
      <c r="B2" s="159"/>
      <c r="C2" s="160" t="s">
        <v>154</v>
      </c>
      <c r="D2" s="207" t="s">
        <v>165</v>
      </c>
      <c r="E2" s="207"/>
      <c r="F2" s="208"/>
    </row>
    <row r="3" spans="2:14" ht="13.5" thickBot="1">
      <c r="B3" s="161" t="s">
        <v>65</v>
      </c>
      <c r="C3" s="162" t="s">
        <v>67</v>
      </c>
      <c r="D3" s="152" t="s">
        <v>144</v>
      </c>
      <c r="E3" s="152" t="s">
        <v>145</v>
      </c>
      <c r="F3" s="158" t="s">
        <v>146</v>
      </c>
    </row>
    <row r="4" spans="2:14">
      <c r="B4" s="155">
        <v>1</v>
      </c>
      <c r="C4" s="9"/>
      <c r="D4" s="156">
        <f t="shared" ref="D4:D67" si="0">IF(B4&lt;5,0,IF(B4&lt;30,($N$15*B4^6)+($N$16*B4^5)+($N$17*B4^4)+($N$18*B4^3)+($N$19*B4^2)+($N$20*B4)+$N$21,IF(B4&lt;250,($N$6*B4^6)+($N$7*B4^5)+($N$8*B4^4)+($N$9*B4^3)+($N$10*B4^2)+($N$11*B4)+$N$12,IF(B4&lt;1000,(2.363443+6.066492*B4/100-2.085061*(B4/100)^2+0.4751229*(B4/100)^3-0.05086087*(B4/100)^4+0.001382764*(B4/100)^5+0.0001469133*(B4/100)^6-0.000008531221*(B4/100)^7)*10,IF(B4&lt;9000,(0.8759882+1.259865*(B4/1000)-0.02582505*(B4/1000)^2+0.0008687869*(B4/1000)^3-0.0000101455*(B4/1000)^4)*100,(0.095*B4)+205)))))</f>
        <v>0</v>
      </c>
      <c r="E4" s="156"/>
      <c r="F4" s="157"/>
    </row>
    <row r="5" spans="2:14">
      <c r="B5" s="145">
        <v>2</v>
      </c>
      <c r="C5" s="10"/>
      <c r="D5" s="146">
        <f t="shared" si="0"/>
        <v>0</v>
      </c>
      <c r="E5" s="146"/>
      <c r="F5" s="147"/>
      <c r="H5" s="8" t="s">
        <v>68</v>
      </c>
      <c r="M5" s="8" t="s">
        <v>155</v>
      </c>
    </row>
    <row r="6" spans="2:14">
      <c r="B6" s="145">
        <v>3</v>
      </c>
      <c r="C6" s="10"/>
      <c r="D6" s="146">
        <f t="shared" si="0"/>
        <v>0</v>
      </c>
      <c r="E6" s="146"/>
      <c r="F6" s="147"/>
      <c r="H6" s="8" t="s">
        <v>69</v>
      </c>
      <c r="M6" s="8" t="s">
        <v>153</v>
      </c>
      <c r="N6" s="8">
        <f>INDEX(LINEST(C28:C253,B28:B253^{1,2,3,4,5,6}),1)</f>
        <v>-4.5798842691475394E-13</v>
      </c>
    </row>
    <row r="7" spans="2:14">
      <c r="B7" s="145">
        <v>4</v>
      </c>
      <c r="C7" s="10"/>
      <c r="D7" s="146">
        <f t="shared" si="0"/>
        <v>0</v>
      </c>
      <c r="E7" s="146"/>
      <c r="F7" s="147"/>
      <c r="M7" s="8" t="s">
        <v>152</v>
      </c>
      <c r="N7" s="8">
        <f>INDEX(LINEST(C28:C253,B28:B253^{1,2,3,4,5,6}),1,2)</f>
        <v>1.4245229309352945E-10</v>
      </c>
    </row>
    <row r="8" spans="2:14">
      <c r="B8" s="145">
        <v>5</v>
      </c>
      <c r="C8" s="10">
        <v>15</v>
      </c>
      <c r="D8" s="146">
        <f t="shared" si="0"/>
        <v>14.770429869845586</v>
      </c>
      <c r="E8" s="146">
        <f t="shared" ref="E8:E71" si="1">C8-D8</f>
        <v>0.22957013015441419</v>
      </c>
      <c r="F8" s="147">
        <f t="shared" ref="F8:F71" si="2">C8/D8-1</f>
        <v>1.554254901024188E-2</v>
      </c>
      <c r="M8" s="8" t="s">
        <v>151</v>
      </c>
      <c r="N8" s="8">
        <f>INDEX(LINEST(C28:C253,B28:B253^{1,2,3,4,5,6}),1,3)</f>
        <v>3.3285628124487577E-8</v>
      </c>
    </row>
    <row r="9" spans="2:14">
      <c r="B9" s="145">
        <v>6</v>
      </c>
      <c r="C9" s="10">
        <v>17.399999999999999</v>
      </c>
      <c r="D9" s="146">
        <f t="shared" si="0"/>
        <v>17.557746736639736</v>
      </c>
      <c r="E9" s="146">
        <f t="shared" si="1"/>
        <v>-0.15774673663973715</v>
      </c>
      <c r="F9" s="147">
        <f t="shared" si="2"/>
        <v>-8.9844522196318444E-3</v>
      </c>
      <c r="M9" s="8" t="s">
        <v>150</v>
      </c>
      <c r="N9" s="8">
        <f>INDEX(LINEST(C28:C253,B28:B253^{1,2,3,4,5,6}),1,4)</f>
        <v>-1.3867609543020676E-5</v>
      </c>
    </row>
    <row r="10" spans="2:14">
      <c r="B10" s="145">
        <v>7</v>
      </c>
      <c r="C10" s="10">
        <v>19.8</v>
      </c>
      <c r="D10" s="146">
        <f t="shared" si="0"/>
        <v>20.15028093893487</v>
      </c>
      <c r="E10" s="146">
        <f t="shared" si="1"/>
        <v>-0.35028093893486911</v>
      </c>
      <c r="F10" s="147">
        <f t="shared" si="2"/>
        <v>-1.7383427059721401E-2</v>
      </c>
      <c r="M10" s="8" t="s">
        <v>149</v>
      </c>
      <c r="N10" s="8">
        <f>INDEX(LINEST(C28:C253,B28:B253^{1,2,3,4,5,6}),1,5)</f>
        <v>2.3027396321985413E-4</v>
      </c>
    </row>
    <row r="11" spans="2:14">
      <c r="B11" s="145">
        <v>8</v>
      </c>
      <c r="C11" s="10">
        <v>22.2</v>
      </c>
      <c r="D11" s="146">
        <f t="shared" si="0"/>
        <v>22.466790343455166</v>
      </c>
      <c r="E11" s="146">
        <f t="shared" si="1"/>
        <v>-0.26679034345516683</v>
      </c>
      <c r="F11" s="147">
        <f t="shared" si="2"/>
        <v>-1.1874875733323687E-2</v>
      </c>
      <c r="M11" s="8" t="s">
        <v>148</v>
      </c>
      <c r="N11" s="8">
        <f>INDEX(LINEST(C28:C253,B28:B253^{1,2,3,4,5,6}),1,6)</f>
        <v>0.47344252925816238</v>
      </c>
    </row>
    <row r="12" spans="2:14">
      <c r="B12" s="145">
        <v>9</v>
      </c>
      <c r="C12" s="10">
        <v>24.6</v>
      </c>
      <c r="D12" s="146">
        <f t="shared" si="0"/>
        <v>24.471773563177031</v>
      </c>
      <c r="E12" s="146">
        <f t="shared" si="1"/>
        <v>0.12822643682297041</v>
      </c>
      <c r="F12" s="147">
        <f t="shared" si="2"/>
        <v>5.2397688500973594E-3</v>
      </c>
      <c r="M12" s="8" t="s">
        <v>147</v>
      </c>
      <c r="N12" s="8">
        <f>INDEX(LINEST(C28:C253,B28:B253^{1,2,3,4,5,6}),1,7)</f>
        <v>27.350948845474242</v>
      </c>
    </row>
    <row r="13" spans="2:14">
      <c r="B13" s="145">
        <v>10</v>
      </c>
      <c r="C13" s="10">
        <v>27</v>
      </c>
      <c r="D13" s="146">
        <f t="shared" si="0"/>
        <v>26.164624945591711</v>
      </c>
      <c r="E13" s="146">
        <f t="shared" si="1"/>
        <v>0.83537505440828852</v>
      </c>
      <c r="F13" s="147">
        <f t="shared" si="2"/>
        <v>3.1927652551696051E-2</v>
      </c>
    </row>
    <row r="14" spans="2:14">
      <c r="B14" s="145">
        <v>11</v>
      </c>
      <c r="C14" s="10">
        <v>27.8</v>
      </c>
      <c r="D14" s="146">
        <f t="shared" si="0"/>
        <v>27.56992230104963</v>
      </c>
      <c r="E14" s="146">
        <f t="shared" si="1"/>
        <v>0.230077698950371</v>
      </c>
      <c r="F14" s="147">
        <f t="shared" si="2"/>
        <v>8.3452429222701241E-3</v>
      </c>
      <c r="M14" s="8" t="s">
        <v>156</v>
      </c>
    </row>
    <row r="15" spans="2:14">
      <c r="B15" s="145">
        <v>12</v>
      </c>
      <c r="C15" s="10">
        <v>28.6</v>
      </c>
      <c r="D15" s="146">
        <f t="shared" si="0"/>
        <v>28.728847371186163</v>
      </c>
      <c r="E15" s="146">
        <f t="shared" si="1"/>
        <v>-0.1288473711861613</v>
      </c>
      <c r="F15" s="147">
        <f t="shared" si="2"/>
        <v>-4.4849474648742671E-3</v>
      </c>
      <c r="M15" s="8" t="s">
        <v>153</v>
      </c>
      <c r="N15" s="8">
        <f>INDEX(LINEST(C8:C33,B8:B33^{1,2,3,4,5,6}),1)</f>
        <v>1.5732501132946008E-6</v>
      </c>
    </row>
    <row r="16" spans="2:14">
      <c r="B16" s="145">
        <v>13</v>
      </c>
      <c r="C16" s="10">
        <v>29.4</v>
      </c>
      <c r="D16" s="146">
        <f t="shared" si="0"/>
        <v>29.691739037429159</v>
      </c>
      <c r="E16" s="146">
        <f t="shared" si="1"/>
        <v>-0.29173903742915996</v>
      </c>
      <c r="F16" s="147">
        <f t="shared" si="2"/>
        <v>-9.8255961721001039E-3</v>
      </c>
      <c r="M16" s="8" t="s">
        <v>152</v>
      </c>
      <c r="N16" s="8">
        <f>INDEX(LINEST(C8:C33,B8:B33^{1,2,3,4,5,6}),1,2)</f>
        <v>-1.6117135290915496E-4</v>
      </c>
    </row>
    <row r="17" spans="2:14">
      <c r="B17" s="145">
        <v>14</v>
      </c>
      <c r="C17" s="10">
        <v>30.2</v>
      </c>
      <c r="D17" s="146">
        <f t="shared" si="0"/>
        <v>30.511779269587663</v>
      </c>
      <c r="E17" s="146">
        <f t="shared" si="1"/>
        <v>-0.31177926958766378</v>
      </c>
      <c r="F17" s="147">
        <f t="shared" si="2"/>
        <v>-1.0218324760182917E-2</v>
      </c>
      <c r="M17" s="8" t="s">
        <v>151</v>
      </c>
      <c r="N17" s="8">
        <f>INDEX(LINEST(C8:C33,B8:B33^{1,2,3,4,5,6}),1,3)</f>
        <v>6.3826566951568232E-3</v>
      </c>
    </row>
    <row r="18" spans="2:14">
      <c r="B18" s="145">
        <v>15</v>
      </c>
      <c r="C18" s="10">
        <v>31</v>
      </c>
      <c r="D18" s="146">
        <f t="shared" si="0"/>
        <v>31.239811814522739</v>
      </c>
      <c r="E18" s="146">
        <f t="shared" si="1"/>
        <v>-0.23981181452273859</v>
      </c>
      <c r="F18" s="147">
        <f t="shared" si="2"/>
        <v>-7.6764807658430412E-3</v>
      </c>
      <c r="M18" s="8" t="s">
        <v>150</v>
      </c>
      <c r="N18" s="8">
        <f>INDEX(LINEST(C8:C33,B8:B33^{1,2,3,4,5,6}),1,4)</f>
        <v>-0.1197860727669694</v>
      </c>
    </row>
    <row r="19" spans="2:14">
      <c r="B19" s="145">
        <v>16</v>
      </c>
      <c r="C19" s="10">
        <v>31.8</v>
      </c>
      <c r="D19" s="146">
        <f t="shared" si="0"/>
        <v>31.920293624899585</v>
      </c>
      <c r="E19" s="146">
        <f t="shared" si="1"/>
        <v>-0.12029362489958473</v>
      </c>
      <c r="F19" s="147">
        <f t="shared" si="2"/>
        <v>-3.7685626051305876E-3</v>
      </c>
      <c r="M19" s="8" t="s">
        <v>149</v>
      </c>
      <c r="N19" s="8">
        <f>INDEX(LINEST(C8:C33,B8:B33^{1,2,3,4,5,6}),1,5)</f>
        <v>0.99525162706421222</v>
      </c>
    </row>
    <row r="20" spans="2:14">
      <c r="B20" s="145">
        <v>17</v>
      </c>
      <c r="C20" s="10">
        <v>32.6</v>
      </c>
      <c r="D20" s="146">
        <f t="shared" si="0"/>
        <v>32.58837902802108</v>
      </c>
      <c r="E20" s="146">
        <f t="shared" si="1"/>
        <v>1.1620971978921091E-2</v>
      </c>
      <c r="F20" s="147">
        <f t="shared" si="2"/>
        <v>3.5659865036330451E-4</v>
      </c>
      <c r="M20" s="8" t="s">
        <v>148</v>
      </c>
      <c r="N20" s="8">
        <f>INDEX(LINEST(C8:C33,B8:B33^{1,2,3,4,5,6}),1,6)</f>
        <v>-0.84189261345335342</v>
      </c>
    </row>
    <row r="21" spans="2:14">
      <c r="B21" s="145">
        <v>18</v>
      </c>
      <c r="C21" s="10">
        <v>33.4</v>
      </c>
      <c r="D21" s="146">
        <f t="shared" si="0"/>
        <v>33.268136634742831</v>
      </c>
      <c r="E21" s="146">
        <f t="shared" si="1"/>
        <v>0.13186336525716769</v>
      </c>
      <c r="F21" s="147">
        <f t="shared" si="2"/>
        <v>3.9636534713356486E-3</v>
      </c>
      <c r="M21" s="8" t="s">
        <v>147</v>
      </c>
      <c r="N21" s="8">
        <f>INDEX(LINEST(C8:C33,B8:B33^{1,2,3,4,5,6}),1,7)</f>
        <v>5.5617793667260855</v>
      </c>
    </row>
    <row r="22" spans="2:14">
      <c r="B22" s="145">
        <v>19</v>
      </c>
      <c r="C22" s="10">
        <v>34.200000000000003</v>
      </c>
      <c r="D22" s="146">
        <f t="shared" si="0"/>
        <v>33.971898988470883</v>
      </c>
      <c r="E22" s="146">
        <f t="shared" si="1"/>
        <v>0.22810101152911955</v>
      </c>
      <c r="F22" s="147">
        <f t="shared" si="2"/>
        <v>6.7144027364065551E-3</v>
      </c>
    </row>
    <row r="23" spans="2:14">
      <c r="B23" s="145">
        <v>20</v>
      </c>
      <c r="C23" s="10">
        <v>35</v>
      </c>
      <c r="D23" s="146">
        <f t="shared" si="0"/>
        <v>34.700744954239127</v>
      </c>
      <c r="E23" s="146">
        <f t="shared" si="1"/>
        <v>0.29925504576087292</v>
      </c>
      <c r="F23" s="147">
        <f t="shared" si="2"/>
        <v>8.6238795782485056E-3</v>
      </c>
    </row>
    <row r="24" spans="2:14">
      <c r="B24" s="148">
        <v>21</v>
      </c>
      <c r="C24" s="11">
        <f>C$28-(B$28-B24)*((C$28-C$23)/(B$28-B$23))</f>
        <v>35.6</v>
      </c>
      <c r="D24" s="146">
        <f t="shared" si="0"/>
        <v>35.446114847869495</v>
      </c>
      <c r="E24" s="146">
        <f t="shared" si="1"/>
        <v>0.15388515213050624</v>
      </c>
      <c r="F24" s="147">
        <f t="shared" si="2"/>
        <v>4.341382766234414E-3</v>
      </c>
    </row>
    <row r="25" spans="2:14">
      <c r="B25" s="148">
        <v>22</v>
      </c>
      <c r="C25" s="11">
        <f>C$28-(B$28-B25)*((C$28-C$24)/(B$28-B$24))</f>
        <v>36.200000000000003</v>
      </c>
      <c r="D25" s="146">
        <f t="shared" si="0"/>
        <v>36.192558305214533</v>
      </c>
      <c r="E25" s="146">
        <f t="shared" si="1"/>
        <v>7.4416947854700766E-3</v>
      </c>
      <c r="F25" s="147">
        <f t="shared" si="2"/>
        <v>2.0561394756102302E-4</v>
      </c>
    </row>
    <row r="26" spans="2:14">
      <c r="B26" s="148">
        <v>23</v>
      </c>
      <c r="C26" s="11">
        <f>C$28-(B$28-B26)*((C$28-C$24)/(B$28-B$24))</f>
        <v>36.799999999999997</v>
      </c>
      <c r="D26" s="146">
        <f t="shared" si="0"/>
        <v>36.921614891478754</v>
      </c>
      <c r="E26" s="146">
        <f t="shared" si="1"/>
        <v>-0.1216148914787567</v>
      </c>
      <c r="F26" s="147">
        <f t="shared" si="2"/>
        <v>-3.2938670704466544E-3</v>
      </c>
    </row>
    <row r="27" spans="2:14">
      <c r="B27" s="148">
        <v>24</v>
      </c>
      <c r="C27" s="11">
        <f>C$28-(B$28-B27)*((C$28-C$24)/(B$28-B$24))</f>
        <v>37.4</v>
      </c>
      <c r="D27" s="146">
        <f t="shared" si="0"/>
        <v>37.616827450624982</v>
      </c>
      <c r="E27" s="146">
        <f t="shared" si="1"/>
        <v>-0.21682745062498299</v>
      </c>
      <c r="F27" s="147">
        <f t="shared" si="2"/>
        <v>-5.7641078559744763E-3</v>
      </c>
    </row>
    <row r="28" spans="2:14">
      <c r="B28" s="145">
        <v>25</v>
      </c>
      <c r="C28" s="10">
        <v>38</v>
      </c>
      <c r="D28" s="146">
        <f t="shared" si="0"/>
        <v>38.269888194859988</v>
      </c>
      <c r="E28" s="146">
        <f t="shared" si="1"/>
        <v>-0.26988819485998761</v>
      </c>
      <c r="F28" s="147">
        <f t="shared" si="2"/>
        <v>-7.0522336905137761E-3</v>
      </c>
    </row>
    <row r="29" spans="2:14">
      <c r="B29" s="148">
        <v>26</v>
      </c>
      <c r="C29" s="11">
        <f>C$33-(B$33-B29)*((C$33-C$28)/(B$33-B$28))</f>
        <v>38.799999999999997</v>
      </c>
      <c r="D29" s="146">
        <f t="shared" si="0"/>
        <v>38.887917534202387</v>
      </c>
      <c r="E29" s="146">
        <f t="shared" si="1"/>
        <v>-8.7917534202389902E-2</v>
      </c>
      <c r="F29" s="147">
        <f t="shared" si="2"/>
        <v>-2.2607930631683981E-3</v>
      </c>
    </row>
    <row r="30" spans="2:14">
      <c r="B30" s="148">
        <v>27</v>
      </c>
      <c r="C30" s="11">
        <f>C$33-(B$33-B30)*((C$33-C$28)/(B$33-B$28))</f>
        <v>39.6</v>
      </c>
      <c r="D30" s="146">
        <f t="shared" si="0"/>
        <v>39.501875646130003</v>
      </c>
      <c r="E30" s="146">
        <f t="shared" si="1"/>
        <v>9.8124353869998515E-2</v>
      </c>
      <c r="F30" s="147">
        <f t="shared" si="2"/>
        <v>2.4840429034060918E-3</v>
      </c>
    </row>
    <row r="31" spans="2:14">
      <c r="B31" s="148">
        <v>28</v>
      </c>
      <c r="C31" s="11">
        <f>C$33-(B$33-B31)*((C$33-C$28)/(B$33-B$28))</f>
        <v>40.4</v>
      </c>
      <c r="D31" s="146">
        <f t="shared" si="0"/>
        <v>40.17610678531716</v>
      </c>
      <c r="E31" s="146">
        <f t="shared" si="1"/>
        <v>0.22389321468283896</v>
      </c>
      <c r="F31" s="147">
        <f t="shared" si="2"/>
        <v>5.572795190913471E-3</v>
      </c>
    </row>
    <row r="32" spans="2:14">
      <c r="B32" s="148">
        <v>29</v>
      </c>
      <c r="C32" s="11">
        <f>C$33-(B$33-B32)*((C$33-C$28)/(B$33-B$28))</f>
        <v>41.2</v>
      </c>
      <c r="D32" s="146">
        <f t="shared" si="0"/>
        <v>41.019016333437349</v>
      </c>
      <c r="E32" s="146">
        <f t="shared" si="1"/>
        <v>0.18098366656265341</v>
      </c>
      <c r="F32" s="147">
        <f t="shared" si="2"/>
        <v>4.4121893389998945E-3</v>
      </c>
    </row>
    <row r="33" spans="2:6">
      <c r="B33" s="145">
        <v>30</v>
      </c>
      <c r="C33" s="10">
        <v>42</v>
      </c>
      <c r="D33" s="146">
        <f t="shared" si="0"/>
        <v>41.417134908395212</v>
      </c>
      <c r="E33" s="146">
        <f t="shared" si="1"/>
        <v>0.58286509160478772</v>
      </c>
      <c r="F33" s="147">
        <f t="shared" si="2"/>
        <v>1.4073042302272798E-2</v>
      </c>
    </row>
    <row r="34" spans="2:6">
      <c r="B34" s="148">
        <v>31</v>
      </c>
      <c r="C34" s="11">
        <f>C$38-(B$38-B34)*((C$38-C$33)/(B$38-B$33))</f>
        <v>42.4</v>
      </c>
      <c r="D34" s="146">
        <f t="shared" si="0"/>
        <v>41.870242373601108</v>
      </c>
      <c r="E34" s="146">
        <f t="shared" si="1"/>
        <v>0.52975762639889012</v>
      </c>
      <c r="F34" s="147">
        <f t="shared" si="2"/>
        <v>1.2652365889644246E-2</v>
      </c>
    </row>
    <row r="35" spans="2:6">
      <c r="B35" s="148">
        <v>32</v>
      </c>
      <c r="C35" s="11">
        <f>C$38-(B$38-B35)*((C$38-C$33)/(B$38-B$33))</f>
        <v>42.8</v>
      </c>
      <c r="D35" s="146">
        <f t="shared" si="0"/>
        <v>42.321687145816092</v>
      </c>
      <c r="E35" s="146">
        <f t="shared" si="1"/>
        <v>0.47831285418390479</v>
      </c>
      <c r="F35" s="147">
        <f t="shared" si="2"/>
        <v>1.1301838051396951E-2</v>
      </c>
    </row>
    <row r="36" spans="2:6">
      <c r="B36" s="148">
        <v>33</v>
      </c>
      <c r="C36" s="11">
        <f>C$38-(B$38-B36)*((C$38-C$33)/(B$38-B$33))</f>
        <v>43.2</v>
      </c>
      <c r="D36" s="146">
        <f t="shared" si="0"/>
        <v>42.771417947273946</v>
      </c>
      <c r="E36" s="146">
        <f t="shared" si="1"/>
        <v>0.42858205272605687</v>
      </c>
      <c r="F36" s="147">
        <f t="shared" si="2"/>
        <v>1.0020290962866607E-2</v>
      </c>
    </row>
    <row r="37" spans="2:6">
      <c r="B37" s="148">
        <v>34</v>
      </c>
      <c r="C37" s="11">
        <f>C$38-(B$38-B37)*((C$38-C$33)/(B$38-B$33))</f>
        <v>43.6</v>
      </c>
      <c r="D37" s="146">
        <f t="shared" si="0"/>
        <v>43.219384677192494</v>
      </c>
      <c r="E37" s="146">
        <f t="shared" si="1"/>
        <v>0.38061532280750754</v>
      </c>
      <c r="F37" s="147">
        <f t="shared" si="2"/>
        <v>8.8065881930143863E-3</v>
      </c>
    </row>
    <row r="38" spans="2:6">
      <c r="B38" s="145">
        <v>35</v>
      </c>
      <c r="C38" s="10">
        <v>44</v>
      </c>
      <c r="D38" s="146">
        <f t="shared" si="0"/>
        <v>43.665538418151016</v>
      </c>
      <c r="E38" s="146">
        <f t="shared" si="1"/>
        <v>0.33446158184898422</v>
      </c>
      <c r="F38" s="147">
        <f t="shared" si="2"/>
        <v>7.6596234459793688E-3</v>
      </c>
    </row>
    <row r="39" spans="2:6">
      <c r="B39" s="148">
        <v>36</v>
      </c>
      <c r="C39" s="11">
        <f>C$43-(B$43-B39)*((C$43-C$38)/(B$43-B$38))</f>
        <v>44.4</v>
      </c>
      <c r="D39" s="146">
        <f t="shared" si="0"/>
        <v>44.109831442137782</v>
      </c>
      <c r="E39" s="146">
        <f t="shared" si="1"/>
        <v>0.2901685578622164</v>
      </c>
      <c r="F39" s="147">
        <f t="shared" si="2"/>
        <v>6.5783193536537166E-3</v>
      </c>
    </row>
    <row r="40" spans="2:6">
      <c r="B40" s="148">
        <v>37</v>
      </c>
      <c r="C40" s="11">
        <f>C$43-(B$43-B40)*((C$43-C$38)/(B$43-B$38))</f>
        <v>44.8</v>
      </c>
      <c r="D40" s="146">
        <f t="shared" si="0"/>
        <v>44.552217216267898</v>
      </c>
      <c r="E40" s="146">
        <f t="shared" si="1"/>
        <v>0.24778278373209872</v>
      </c>
      <c r="F40" s="147">
        <f t="shared" si="2"/>
        <v>5.5616263165825242E-3</v>
      </c>
    </row>
    <row r="41" spans="2:6">
      <c r="B41" s="148">
        <v>38</v>
      </c>
      <c r="C41" s="11">
        <f>C$43-(B$43-B41)*((C$43-C$38)/(B$43-B$38))</f>
        <v>45.2</v>
      </c>
      <c r="D41" s="146">
        <f t="shared" si="0"/>
        <v>44.992650408171436</v>
      </c>
      <c r="E41" s="146">
        <f t="shared" si="1"/>
        <v>0.20734959182856727</v>
      </c>
      <c r="F41" s="147">
        <f t="shared" si="2"/>
        <v>4.6085213906605915E-3</v>
      </c>
    </row>
    <row r="42" spans="2:6">
      <c r="B42" s="148">
        <v>39</v>
      </c>
      <c r="C42" s="11">
        <f>C$43-(B$43-B42)*((C$43-C$38)/(B$43-B$38))</f>
        <v>45.6</v>
      </c>
      <c r="D42" s="146">
        <f t="shared" si="0"/>
        <v>45.431086891051734</v>
      </c>
      <c r="E42" s="146">
        <f t="shared" si="1"/>
        <v>0.16891310894826717</v>
      </c>
      <c r="F42" s="147">
        <f t="shared" si="2"/>
        <v>3.7180072172462442E-3</v>
      </c>
    </row>
    <row r="43" spans="2:6">
      <c r="B43" s="145">
        <v>40</v>
      </c>
      <c r="C43" s="10">
        <v>46</v>
      </c>
      <c r="D43" s="146">
        <f t="shared" si="0"/>
        <v>45.867483748414003</v>
      </c>
      <c r="E43" s="146">
        <f t="shared" si="1"/>
        <v>0.13251625158599722</v>
      </c>
      <c r="F43" s="147">
        <f t="shared" si="2"/>
        <v>2.8891109944653159E-3</v>
      </c>
    </row>
    <row r="44" spans="2:6">
      <c r="B44" s="148">
        <v>41</v>
      </c>
      <c r="C44" s="11">
        <f>C$48-(B$48-B44)*((C$48-C$43)/(B$48-B$43))</f>
        <v>46.4</v>
      </c>
      <c r="D44" s="146">
        <f t="shared" si="0"/>
        <v>46.301799278464159</v>
      </c>
      <c r="E44" s="146">
        <f t="shared" si="1"/>
        <v>9.8200721535839364E-2</v>
      </c>
      <c r="F44" s="147">
        <f t="shared" si="2"/>
        <v>2.1208834875994231E-3</v>
      </c>
    </row>
    <row r="45" spans="2:6">
      <c r="B45" s="148">
        <v>42</v>
      </c>
      <c r="C45" s="11">
        <f>C$48-(B$48-B45)*((C$48-C$43)/(B$48-B$43))</f>
        <v>46.8</v>
      </c>
      <c r="D45" s="146">
        <f t="shared" si="0"/>
        <v>46.733992998177925</v>
      </c>
      <c r="E45" s="146">
        <f t="shared" si="1"/>
        <v>6.6007001822072198E-2</v>
      </c>
      <c r="F45" s="147">
        <f t="shared" si="2"/>
        <v>1.4123980765916588E-3</v>
      </c>
    </row>
    <row r="46" spans="2:6">
      <c r="B46" s="148">
        <v>43</v>
      </c>
      <c r="C46" s="11">
        <f>C$48-(B$48-B46)*((C$48-C$43)/(B$48-B$43))</f>
        <v>47.2</v>
      </c>
      <c r="D46" s="146">
        <f t="shared" si="0"/>
        <v>47.164025647040106</v>
      </c>
      <c r="E46" s="146">
        <f t="shared" si="1"/>
        <v>3.597435295989726E-2</v>
      </c>
      <c r="F46" s="147">
        <f t="shared" si="2"/>
        <v>7.6274983880963987E-4</v>
      </c>
    </row>
    <row r="47" spans="2:6">
      <c r="B47" s="148">
        <v>44</v>
      </c>
      <c r="C47" s="11">
        <f>C$48-(B$48-B47)*((C$48-C$43)/(B$48-B$43))</f>
        <v>47.6</v>
      </c>
      <c r="D47" s="146">
        <f t="shared" si="0"/>
        <v>47.591859190454244</v>
      </c>
      <c r="E47" s="146">
        <f t="shared" si="1"/>
        <v>8.1408095457575769E-3</v>
      </c>
      <c r="F47" s="147">
        <f t="shared" si="2"/>
        <v>1.7105466531952551E-4</v>
      </c>
    </row>
    <row r="48" spans="2:6">
      <c r="B48" s="145">
        <v>45</v>
      </c>
      <c r="C48" s="10">
        <v>48</v>
      </c>
      <c r="D48" s="146">
        <f t="shared" si="0"/>
        <v>48.01745682282241</v>
      </c>
      <c r="E48" s="146">
        <f t="shared" si="1"/>
        <v>-1.7456822822410345E-2</v>
      </c>
      <c r="F48" s="147">
        <f t="shared" si="2"/>
        <v>-3.6355159097289924E-4</v>
      </c>
    </row>
    <row r="49" spans="2:6">
      <c r="B49" s="148">
        <v>46</v>
      </c>
      <c r="C49" s="11">
        <f>C$53-(B$53-B49)*((C$53-C$48)/(B$53-B$48))</f>
        <v>48.4</v>
      </c>
      <c r="D49" s="146">
        <f t="shared" si="0"/>
        <v>48.44078297029526</v>
      </c>
      <c r="E49" s="146">
        <f t="shared" si="1"/>
        <v>-4.0782970295261123E-2</v>
      </c>
      <c r="F49" s="147">
        <f t="shared" si="2"/>
        <v>-8.4191393686328109E-4</v>
      </c>
    </row>
    <row r="50" spans="2:6">
      <c r="B50" s="148">
        <v>47</v>
      </c>
      <c r="C50" s="11">
        <f>C$53-(B$53-B50)*((C$53-C$48)/(B$53-B$48))</f>
        <v>48.8</v>
      </c>
      <c r="D50" s="146">
        <f t="shared" si="0"/>
        <v>48.861803293192423</v>
      </c>
      <c r="E50" s="146">
        <f t="shared" si="1"/>
        <v>-6.1803293192426167E-2</v>
      </c>
      <c r="F50" s="147">
        <f t="shared" si="2"/>
        <v>-1.2648590315338382E-3</v>
      </c>
    </row>
    <row r="51" spans="2:6">
      <c r="B51" s="148">
        <v>48</v>
      </c>
      <c r="C51" s="11">
        <f>C$53-(B$53-B51)*((C$53-C$48)/(B$53-B$48))</f>
        <v>49.2</v>
      </c>
      <c r="D51" s="146">
        <f t="shared" si="0"/>
        <v>49.280484688093004</v>
      </c>
      <c r="E51" s="146">
        <f t="shared" si="1"/>
        <v>-8.0484688093001466E-2</v>
      </c>
      <c r="F51" s="147">
        <f t="shared" si="2"/>
        <v>-1.6331959517525974E-3</v>
      </c>
    </row>
    <row r="52" spans="2:6">
      <c r="B52" s="148">
        <v>49</v>
      </c>
      <c r="C52" s="11">
        <f>C$53-(B$53-B52)*((C$53-C$48)/(B$53-B$48))</f>
        <v>49.6</v>
      </c>
      <c r="D52" s="146">
        <f t="shared" si="0"/>
        <v>49.696795289596459</v>
      </c>
      <c r="E52" s="146">
        <f t="shared" si="1"/>
        <v>-9.6795289596457224E-2</v>
      </c>
      <c r="F52" s="147">
        <f t="shared" si="2"/>
        <v>-1.9477169308886877E-3</v>
      </c>
    </row>
    <row r="53" spans="2:6">
      <c r="B53" s="145">
        <v>50</v>
      </c>
      <c r="C53" s="10">
        <v>50</v>
      </c>
      <c r="D53" s="146">
        <f t="shared" si="0"/>
        <v>50.110704471753643</v>
      </c>
      <c r="E53" s="146">
        <f t="shared" si="1"/>
        <v>-0.11070447175364251</v>
      </c>
      <c r="F53" s="147">
        <f t="shared" si="2"/>
        <v>-2.2091980729594951E-3</v>
      </c>
    </row>
    <row r="54" spans="2:6">
      <c r="B54" s="148">
        <v>51</v>
      </c>
      <c r="C54" s="11">
        <f t="shared" ref="C54:C62" si="3">C$63-(B$63-B54)*((C$63-C$53)/(B$63-B$53))</f>
        <v>50.4</v>
      </c>
      <c r="D54" s="146">
        <f t="shared" si="0"/>
        <v>50.522182849168146</v>
      </c>
      <c r="E54" s="146">
        <f t="shared" si="1"/>
        <v>-0.12218284916814781</v>
      </c>
      <c r="F54" s="147">
        <f t="shared" si="2"/>
        <v>-2.4184000428667529E-3</v>
      </c>
    </row>
    <row r="55" spans="2:6">
      <c r="B55" s="148">
        <v>52</v>
      </c>
      <c r="C55" s="11">
        <f t="shared" si="3"/>
        <v>50.8</v>
      </c>
      <c r="D55" s="146">
        <f t="shared" si="0"/>
        <v>50.931202277767817</v>
      </c>
      <c r="E55" s="146">
        <f t="shared" si="1"/>
        <v>-0.13120227776781945</v>
      </c>
      <c r="F55" s="147">
        <f t="shared" si="2"/>
        <v>-2.5760687339024813E-3</v>
      </c>
    </row>
    <row r="56" spans="2:6">
      <c r="B56" s="148">
        <v>53</v>
      </c>
      <c r="C56" s="11">
        <f t="shared" si="3"/>
        <v>51.2</v>
      </c>
      <c r="D56" s="146">
        <f t="shared" si="0"/>
        <v>51.337735855246649</v>
      </c>
      <c r="E56" s="146">
        <f t="shared" si="1"/>
        <v>-0.13773585524664611</v>
      </c>
      <c r="F56" s="147">
        <f t="shared" si="2"/>
        <v>-2.6829359135550623E-3</v>
      </c>
    </row>
    <row r="57" spans="2:6">
      <c r="B57" s="148">
        <v>54</v>
      </c>
      <c r="C57" s="11">
        <f t="shared" si="3"/>
        <v>51.6</v>
      </c>
      <c r="D57" s="146">
        <f t="shared" si="0"/>
        <v>51.741757921176792</v>
      </c>
      <c r="E57" s="146">
        <f t="shared" si="1"/>
        <v>-0.14175792117679009</v>
      </c>
      <c r="F57" s="147">
        <f t="shared" si="2"/>
        <v>-2.7397198485745733E-3</v>
      </c>
    </row>
    <row r="58" spans="2:6">
      <c r="B58" s="148">
        <v>55</v>
      </c>
      <c r="C58" s="11">
        <f t="shared" si="3"/>
        <v>52</v>
      </c>
      <c r="D58" s="146">
        <f t="shared" si="0"/>
        <v>52.143244056790863</v>
      </c>
      <c r="E58" s="146">
        <f t="shared" si="1"/>
        <v>-0.14324405679086283</v>
      </c>
      <c r="F58" s="147">
        <f t="shared" si="2"/>
        <v>-2.7471259102109791E-3</v>
      </c>
    </row>
    <row r="59" spans="2:6">
      <c r="B59" s="148">
        <v>56</v>
      </c>
      <c r="C59" s="11">
        <f t="shared" si="3"/>
        <v>52.4</v>
      </c>
      <c r="D59" s="146">
        <f t="shared" si="0"/>
        <v>52.542171084434543</v>
      </c>
      <c r="E59" s="146">
        <f t="shared" si="1"/>
        <v>-0.14217108443454407</v>
      </c>
      <c r="F59" s="147">
        <f t="shared" si="2"/>
        <v>-2.7058471604851642E-3</v>
      </c>
    </row>
    <row r="60" spans="2:6">
      <c r="B60" s="148">
        <v>57</v>
      </c>
      <c r="C60" s="11">
        <f t="shared" si="3"/>
        <v>52.8</v>
      </c>
      <c r="D60" s="146">
        <f t="shared" si="0"/>
        <v>52.938517066689371</v>
      </c>
      <c r="E60" s="146">
        <f t="shared" si="1"/>
        <v>-0.13851706668937425</v>
      </c>
      <c r="F60" s="147">
        <f t="shared" si="2"/>
        <v>-2.6165649202994912E-3</v>
      </c>
    </row>
    <row r="61" spans="2:6">
      <c r="B61" s="148">
        <v>58</v>
      </c>
      <c r="C61" s="11">
        <f t="shared" si="3"/>
        <v>53.2</v>
      </c>
      <c r="D61" s="146">
        <f t="shared" si="0"/>
        <v>53.33226130516578</v>
      </c>
      <c r="E61" s="146">
        <f t="shared" si="1"/>
        <v>-0.13226130516577683</v>
      </c>
      <c r="F61" s="147">
        <f t="shared" si="2"/>
        <v>-2.4799493201493883E-3</v>
      </c>
    </row>
    <row r="62" spans="2:6">
      <c r="B62" s="148">
        <v>59</v>
      </c>
      <c r="C62" s="11">
        <f t="shared" si="3"/>
        <v>53.6</v>
      </c>
      <c r="D62" s="146">
        <f t="shared" si="0"/>
        <v>53.723384338966426</v>
      </c>
      <c r="E62" s="146">
        <f t="shared" si="1"/>
        <v>-0.12338433896642442</v>
      </c>
      <c r="F62" s="147">
        <f t="shared" si="2"/>
        <v>-2.2966598341596089E-3</v>
      </c>
    </row>
    <row r="63" spans="2:6">
      <c r="B63" s="145">
        <v>60</v>
      </c>
      <c r="C63" s="10">
        <v>54</v>
      </c>
      <c r="D63" s="146">
        <f t="shared" si="0"/>
        <v>54.11186794281975</v>
      </c>
      <c r="E63" s="146">
        <f t="shared" si="1"/>
        <v>-0.11186794281974954</v>
      </c>
      <c r="F63" s="147">
        <f t="shared" si="2"/>
        <v>-2.0673457981151833E-3</v>
      </c>
    </row>
    <row r="64" spans="2:6">
      <c r="B64" s="148">
        <v>61</v>
      </c>
      <c r="C64" s="11">
        <f t="shared" ref="C64:C72" si="4">C$73-(B$73-B64)*((C$73-C$63)/(B$73-B$63))</f>
        <v>54.4</v>
      </c>
      <c r="D64" s="146">
        <f t="shared" si="0"/>
        <v>54.497695124883741</v>
      </c>
      <c r="E64" s="146">
        <f t="shared" si="1"/>
        <v>-9.7695124883742324E-2</v>
      </c>
      <c r="F64" s="147">
        <f t="shared" si="2"/>
        <v>-1.7926469121284372E-3</v>
      </c>
    </row>
    <row r="65" spans="2:6">
      <c r="B65" s="148">
        <v>62</v>
      </c>
      <c r="C65" s="11">
        <f t="shared" si="4"/>
        <v>54.8</v>
      </c>
      <c r="D65" s="146">
        <f t="shared" si="0"/>
        <v>54.880850124220039</v>
      </c>
      <c r="E65" s="146">
        <f t="shared" si="1"/>
        <v>-8.0850124220042119E-2</v>
      </c>
      <c r="F65" s="147">
        <f t="shared" si="2"/>
        <v>-1.4731937285418217E-3</v>
      </c>
    </row>
    <row r="66" spans="2:6">
      <c r="B66" s="148">
        <v>63</v>
      </c>
      <c r="C66" s="11">
        <f t="shared" si="4"/>
        <v>55.2</v>
      </c>
      <c r="D66" s="146">
        <f t="shared" si="0"/>
        <v>55.261318407938205</v>
      </c>
      <c r="E66" s="146">
        <f t="shared" si="1"/>
        <v>-6.1318407938202313E-2</v>
      </c>
      <c r="F66" s="147">
        <f t="shared" si="2"/>
        <v>-1.1096081256251056E-3</v>
      </c>
    </row>
    <row r="67" spans="2:6">
      <c r="B67" s="148">
        <v>64</v>
      </c>
      <c r="C67" s="11">
        <f t="shared" si="4"/>
        <v>55.6</v>
      </c>
      <c r="D67" s="146">
        <f t="shared" si="0"/>
        <v>55.63908666801025</v>
      </c>
      <c r="E67" s="146">
        <f t="shared" si="1"/>
        <v>-3.908666801024907E-2</v>
      </c>
      <c r="F67" s="147">
        <f t="shared" si="2"/>
        <v>-7.0250376760272459E-4</v>
      </c>
    </row>
    <row r="68" spans="2:6">
      <c r="B68" s="148">
        <v>65</v>
      </c>
      <c r="C68" s="11">
        <f t="shared" si="4"/>
        <v>56</v>
      </c>
      <c r="D68" s="146">
        <f t="shared" ref="D68:D131" si="5">IF(B68&lt;5,0,IF(B68&lt;30,($N$15*B68^6)+($N$16*B68^5)+($N$17*B68^4)+($N$18*B68^3)+($N$19*B68^2)+($N$20*B68)+$N$21,IF(B68&lt;250,($N$6*B68^6)+($N$7*B68^5)+($N$8*B68^4)+($N$9*B68^3)+($N$10*B68^2)+($N$11*B68)+$N$12,IF(B68&lt;1000,(2.363443+6.066492*B68/100-2.085061*(B68/100)^2+0.4751229*(B68/100)^3-0.05086087*(B68/100)^4+0.001382764*(B68/100)^5+0.0001469133*(B68/100)^6-0.000008531221*(B68/100)^7)*10,IF(B68&lt;9000,(0.8759882+1.259865*(B68/1000)-0.02582505*(B68/1000)^2+0.0008687869*(B68/1000)^3-0.0000101455*(B68/1000)^4)*100,(0.095*B68)+205)))))</f>
        <v>56.014142817755484</v>
      </c>
      <c r="E68" s="146">
        <f t="shared" si="1"/>
        <v>-1.4142817755484316E-2</v>
      </c>
      <c r="F68" s="147">
        <f t="shared" si="2"/>
        <v>-2.5248655150356125E-4</v>
      </c>
    </row>
    <row r="69" spans="2:6">
      <c r="B69" s="148">
        <v>66</v>
      </c>
      <c r="C69" s="11">
        <f t="shared" si="4"/>
        <v>56.4</v>
      </c>
      <c r="D69" s="146">
        <f t="shared" si="5"/>
        <v>56.38647598799551</v>
      </c>
      <c r="E69" s="146">
        <f t="shared" si="1"/>
        <v>1.3524012004488384E-2</v>
      </c>
      <c r="F69" s="147">
        <f t="shared" si="2"/>
        <v>2.3984495869844302E-4</v>
      </c>
    </row>
    <row r="70" spans="2:6">
      <c r="B70" s="148">
        <v>67</v>
      </c>
      <c r="C70" s="11">
        <f t="shared" si="4"/>
        <v>56.8</v>
      </c>
      <c r="D70" s="146">
        <f t="shared" si="5"/>
        <v>56.756076522879539</v>
      </c>
      <c r="E70" s="146">
        <f t="shared" si="1"/>
        <v>4.3923477120458188E-2</v>
      </c>
      <c r="F70" s="147">
        <f t="shared" si="2"/>
        <v>7.7389911021685798E-4</v>
      </c>
    </row>
    <row r="71" spans="2:6">
      <c r="B71" s="148">
        <v>68</v>
      </c>
      <c r="C71" s="11">
        <f t="shared" si="4"/>
        <v>57.2</v>
      </c>
      <c r="D71" s="146">
        <f t="shared" si="5"/>
        <v>57.122935975379924</v>
      </c>
      <c r="E71" s="146">
        <f t="shared" si="1"/>
        <v>7.7064024620078442E-2</v>
      </c>
      <c r="F71" s="147">
        <f t="shared" si="2"/>
        <v>1.3490907514503991E-3</v>
      </c>
    </row>
    <row r="72" spans="2:6">
      <c r="B72" s="148">
        <v>69</v>
      </c>
      <c r="C72" s="11">
        <f t="shared" si="4"/>
        <v>57.6</v>
      </c>
      <c r="D72" s="146">
        <f t="shared" si="5"/>
        <v>57.487047102457979</v>
      </c>
      <c r="E72" s="146">
        <f t="shared" ref="E72:E135" si="6">C72-D72</f>
        <v>0.11295289754202287</v>
      </c>
      <c r="F72" s="147">
        <f t="shared" ref="F72:F135" si="7">C72/D72-1</f>
        <v>1.9648408334613787E-3</v>
      </c>
    </row>
    <row r="73" spans="2:6">
      <c r="B73" s="145">
        <v>70</v>
      </c>
      <c r="C73" s="10">
        <v>58</v>
      </c>
      <c r="D73" s="146">
        <f t="shared" si="5"/>
        <v>57.848403859899946</v>
      </c>
      <c r="E73" s="146">
        <f t="shared" si="6"/>
        <v>0.15159614010005384</v>
      </c>
      <c r="F73" s="147">
        <f t="shared" si="7"/>
        <v>2.6205760225848085E-3</v>
      </c>
    </row>
    <row r="74" spans="2:6">
      <c r="B74" s="148">
        <v>71</v>
      </c>
      <c r="C74" s="11">
        <f t="shared" ref="C74:C82" si="8">C$83-(B$83-B74)*((C$83-C$73)/(B$83-B$73))</f>
        <v>58.32</v>
      </c>
      <c r="D74" s="146">
        <f t="shared" si="5"/>
        <v>58.207001396823372</v>
      </c>
      <c r="E74" s="146">
        <f t="shared" si="6"/>
        <v>0.11299860317662791</v>
      </c>
      <c r="F74" s="147">
        <f t="shared" si="7"/>
        <v>1.9413232165366168E-3</v>
      </c>
    </row>
    <row r="75" spans="2:6">
      <c r="B75" s="148">
        <v>72</v>
      </c>
      <c r="C75" s="11">
        <f t="shared" si="8"/>
        <v>58.64</v>
      </c>
      <c r="D75" s="146">
        <f t="shared" si="5"/>
        <v>58.56283604985358</v>
      </c>
      <c r="E75" s="146">
        <f t="shared" si="6"/>
        <v>7.7163950146420746E-2</v>
      </c>
      <c r="F75" s="147">
        <f t="shared" si="7"/>
        <v>1.3176265930963105E-3</v>
      </c>
    </row>
    <row r="76" spans="2:6">
      <c r="B76" s="148">
        <v>73</v>
      </c>
      <c r="C76" s="11">
        <f t="shared" si="8"/>
        <v>58.96</v>
      </c>
      <c r="D76" s="146">
        <f t="shared" si="5"/>
        <v>58.91590533697044</v>
      </c>
      <c r="E76" s="146">
        <f t="shared" si="6"/>
        <v>4.4094663029561332E-2</v>
      </c>
      <c r="F76" s="147">
        <f t="shared" si="7"/>
        <v>7.4843393778567524E-4</v>
      </c>
    </row>
    <row r="77" spans="2:6">
      <c r="B77" s="148">
        <v>74</v>
      </c>
      <c r="C77" s="11">
        <f t="shared" si="8"/>
        <v>59.28</v>
      </c>
      <c r="D77" s="146">
        <f t="shared" si="5"/>
        <v>59.266207951025486</v>
      </c>
      <c r="E77" s="146">
        <f t="shared" si="6"/>
        <v>1.3792048974515581E-2</v>
      </c>
      <c r="F77" s="147">
        <f t="shared" si="7"/>
        <v>2.3271353864773303E-4</v>
      </c>
    </row>
    <row r="78" spans="2:6">
      <c r="B78" s="148">
        <v>75</v>
      </c>
      <c r="C78" s="11">
        <f t="shared" si="8"/>
        <v>59.6</v>
      </c>
      <c r="D78" s="146">
        <f t="shared" si="5"/>
        <v>59.613743752929089</v>
      </c>
      <c r="E78" s="146">
        <f t="shared" si="6"/>
        <v>-1.3743752929087805E-2</v>
      </c>
      <c r="F78" s="147">
        <f t="shared" si="7"/>
        <v>-2.3054671731492782E-4</v>
      </c>
    </row>
    <row r="79" spans="2:6">
      <c r="B79" s="148">
        <v>76</v>
      </c>
      <c r="C79" s="11">
        <f t="shared" si="8"/>
        <v>59.92</v>
      </c>
      <c r="D79" s="146">
        <f t="shared" si="5"/>
        <v>59.958513764508041</v>
      </c>
      <c r="E79" s="146">
        <f t="shared" si="6"/>
        <v>-3.8513764508039117E-2</v>
      </c>
      <c r="F79" s="147">
        <f t="shared" si="7"/>
        <v>-6.4234021308973155E-4</v>
      </c>
    </row>
    <row r="80" spans="2:6">
      <c r="B80" s="148">
        <v>77</v>
      </c>
      <c r="C80" s="11">
        <f t="shared" si="8"/>
        <v>60.24</v>
      </c>
      <c r="D80" s="146">
        <f t="shared" si="5"/>
        <v>60.300520161033361</v>
      </c>
      <c r="E80" s="146">
        <f t="shared" si="6"/>
        <v>-6.0520161033359443E-2</v>
      </c>
      <c r="F80" s="147">
        <f t="shared" si="7"/>
        <v>-1.0036424374406661E-3</v>
      </c>
    </row>
    <row r="81" spans="2:6">
      <c r="B81" s="148">
        <v>78</v>
      </c>
      <c r="C81" s="11">
        <f t="shared" si="8"/>
        <v>60.56</v>
      </c>
      <c r="D81" s="146">
        <f t="shared" si="5"/>
        <v>60.639766263418245</v>
      </c>
      <c r="E81" s="146">
        <f t="shared" si="6"/>
        <v>-7.9766263418243E-2</v>
      </c>
      <c r="F81" s="147">
        <f t="shared" si="7"/>
        <v>-1.3154117888868333E-3</v>
      </c>
    </row>
    <row r="82" spans="2:6">
      <c r="B82" s="148">
        <v>79</v>
      </c>
      <c r="C82" s="11">
        <f t="shared" si="8"/>
        <v>60.88</v>
      </c>
      <c r="D82" s="146">
        <f t="shared" si="5"/>
        <v>60.976256530086367</v>
      </c>
      <c r="E82" s="146">
        <f t="shared" si="6"/>
        <v>-9.6256530086364478E-2</v>
      </c>
      <c r="F82" s="147">
        <f t="shared" si="7"/>
        <v>-1.5785903491610798E-3</v>
      </c>
    </row>
    <row r="83" spans="2:6">
      <c r="B83" s="145">
        <v>80</v>
      </c>
      <c r="C83" s="10">
        <v>61.2</v>
      </c>
      <c r="D83" s="146">
        <f t="shared" si="5"/>
        <v>61.309996548510462</v>
      </c>
      <c r="E83" s="146">
        <f t="shared" si="6"/>
        <v>-0.10999654851045904</v>
      </c>
      <c r="F83" s="147">
        <f t="shared" si="7"/>
        <v>-1.7941046273494132E-3</v>
      </c>
    </row>
    <row r="84" spans="2:6">
      <c r="B84" s="148">
        <v>81</v>
      </c>
      <c r="C84" s="11">
        <f t="shared" ref="C84:C92" si="9">C$93-(B$93-B84)*((C$93-C$83)/(B$93-B$83))</f>
        <v>61.510000000000005</v>
      </c>
      <c r="D84" s="146">
        <f t="shared" si="5"/>
        <v>61.640993026420979</v>
      </c>
      <c r="E84" s="146">
        <f t="shared" si="6"/>
        <v>-0.13099302642097399</v>
      </c>
      <c r="F84" s="147">
        <f t="shared" si="7"/>
        <v>-2.1250959789831381E-3</v>
      </c>
    </row>
    <row r="85" spans="2:6">
      <c r="B85" s="148">
        <v>82</v>
      </c>
      <c r="C85" s="11">
        <f t="shared" si="9"/>
        <v>61.82</v>
      </c>
      <c r="D85" s="146">
        <f t="shared" si="5"/>
        <v>61.9692537826852</v>
      </c>
      <c r="E85" s="146">
        <f t="shared" si="6"/>
        <v>-0.14925378268520006</v>
      </c>
      <c r="F85" s="147">
        <f t="shared" si="7"/>
        <v>-2.4085134736107072E-3</v>
      </c>
    </row>
    <row r="86" spans="2:6">
      <c r="B86" s="148">
        <v>83</v>
      </c>
      <c r="C86" s="11">
        <f t="shared" si="9"/>
        <v>62.13</v>
      </c>
      <c r="D86" s="146">
        <f t="shared" si="5"/>
        <v>62.29478773785646</v>
      </c>
      <c r="E86" s="146">
        <f t="shared" si="6"/>
        <v>-0.16478773785645728</v>
      </c>
      <c r="F86" s="147">
        <f t="shared" si="7"/>
        <v>-2.6452893386506027E-3</v>
      </c>
    </row>
    <row r="87" spans="2:6">
      <c r="B87" s="148">
        <v>84</v>
      </c>
      <c r="C87" s="11">
        <f t="shared" si="9"/>
        <v>62.44</v>
      </c>
      <c r="D87" s="146">
        <f t="shared" si="5"/>
        <v>62.617604904393666</v>
      </c>
      <c r="E87" s="146">
        <f t="shared" si="6"/>
        <v>-0.17760490439366805</v>
      </c>
      <c r="F87" s="147">
        <f t="shared" si="7"/>
        <v>-2.8363413877748878E-3</v>
      </c>
    </row>
    <row r="88" spans="2:6">
      <c r="B88" s="148">
        <v>85</v>
      </c>
      <c r="C88" s="11">
        <f t="shared" si="9"/>
        <v>62.75</v>
      </c>
      <c r="D88" s="146">
        <f t="shared" si="5"/>
        <v>62.937716376551052</v>
      </c>
      <c r="E88" s="146">
        <f t="shared" si="6"/>
        <v>-0.18771637655105167</v>
      </c>
      <c r="F88" s="147">
        <f t="shared" si="7"/>
        <v>-2.982573683289691E-3</v>
      </c>
    </row>
    <row r="89" spans="2:6">
      <c r="B89" s="148">
        <v>86</v>
      </c>
      <c r="C89" s="11">
        <f t="shared" si="9"/>
        <v>63.06</v>
      </c>
      <c r="D89" s="146">
        <f t="shared" si="5"/>
        <v>63.255134319938222</v>
      </c>
      <c r="E89" s="146">
        <f t="shared" si="6"/>
        <v>-0.19513431993821939</v>
      </c>
      <c r="F89" s="147">
        <f t="shared" si="7"/>
        <v>-3.0848771729935498E-3</v>
      </c>
    </row>
    <row r="90" spans="2:6">
      <c r="B90" s="148">
        <v>87</v>
      </c>
      <c r="C90" s="11">
        <f t="shared" si="9"/>
        <v>63.37</v>
      </c>
      <c r="D90" s="146">
        <f t="shared" si="5"/>
        <v>63.569871960750376</v>
      </c>
      <c r="E90" s="146">
        <f t="shared" si="6"/>
        <v>-0.19987196075037872</v>
      </c>
      <c r="F90" s="147">
        <f t="shared" si="7"/>
        <v>-3.1441303023825862E-3</v>
      </c>
    </row>
    <row r="91" spans="2:6">
      <c r="B91" s="148">
        <v>88</v>
      </c>
      <c r="C91" s="11">
        <f t="shared" si="9"/>
        <v>63.68</v>
      </c>
      <c r="D91" s="146">
        <f t="shared" si="5"/>
        <v>63.88194357466881</v>
      </c>
      <c r="E91" s="146">
        <f t="shared" si="6"/>
        <v>-0.2019435746688103</v>
      </c>
      <c r="F91" s="147">
        <f t="shared" si="7"/>
        <v>-3.1611996030266321E-3</v>
      </c>
    </row>
    <row r="92" spans="2:6">
      <c r="B92" s="148">
        <v>89</v>
      </c>
      <c r="C92" s="11">
        <f t="shared" si="9"/>
        <v>63.989999999999995</v>
      </c>
      <c r="D92" s="146">
        <f t="shared" si="5"/>
        <v>64.19136447543174</v>
      </c>
      <c r="E92" s="146">
        <f t="shared" si="6"/>
        <v>-0.2013644754317454</v>
      </c>
      <c r="F92" s="147">
        <f t="shared" si="7"/>
        <v>-3.1369402578880212E-3</v>
      </c>
    </row>
    <row r="93" spans="2:6">
      <c r="B93" s="145">
        <v>90</v>
      </c>
      <c r="C93" s="10">
        <v>64.3</v>
      </c>
      <c r="D93" s="146">
        <f t="shared" si="5"/>
        <v>64.498151003075208</v>
      </c>
      <c r="E93" s="146">
        <f t="shared" si="6"/>
        <v>-0.1981510030752105</v>
      </c>
      <c r="F93" s="147">
        <f t="shared" si="7"/>
        <v>-3.0721966443001403E-3</v>
      </c>
    </row>
    <row r="94" spans="2:6">
      <c r="B94" s="148">
        <v>91</v>
      </c>
      <c r="C94" s="11">
        <f t="shared" ref="C94:C102" si="10">C$103-(B$103-B94)*((C$103-C$93)/(B$103-B$93))</f>
        <v>64.62</v>
      </c>
      <c r="D94" s="146">
        <f t="shared" si="5"/>
        <v>64.802320511844414</v>
      </c>
      <c r="E94" s="146">
        <f t="shared" si="6"/>
        <v>-0.18232051184440934</v>
      </c>
      <c r="F94" s="147">
        <f t="shared" si="7"/>
        <v>-2.8134873937282201E-3</v>
      </c>
    </row>
    <row r="95" spans="2:6">
      <c r="B95" s="148">
        <v>92</v>
      </c>
      <c r="C95" s="11">
        <f t="shared" si="10"/>
        <v>64.94</v>
      </c>
      <c r="D95" s="146">
        <f t="shared" si="5"/>
        <v>65.103891357775154</v>
      </c>
      <c r="E95" s="146">
        <f t="shared" si="6"/>
        <v>-0.16389135777515662</v>
      </c>
      <c r="F95" s="147">
        <f t="shared" si="7"/>
        <v>-2.5173819007914267E-3</v>
      </c>
    </row>
    <row r="96" spans="2:6">
      <c r="B96" s="148">
        <v>93</v>
      </c>
      <c r="C96" s="11">
        <f t="shared" si="10"/>
        <v>65.259999999999991</v>
      </c>
      <c r="D96" s="146">
        <f t="shared" si="5"/>
        <v>65.402882885945672</v>
      </c>
      <c r="E96" s="146">
        <f t="shared" si="6"/>
        <v>-0.14288288594568144</v>
      </c>
      <c r="F96" s="147">
        <f t="shared" si="7"/>
        <v>-2.1846573062360708E-3</v>
      </c>
    </row>
    <row r="97" spans="2:6">
      <c r="B97" s="148">
        <v>94</v>
      </c>
      <c r="C97" s="11">
        <f t="shared" si="10"/>
        <v>65.58</v>
      </c>
      <c r="D97" s="146">
        <f t="shared" si="5"/>
        <v>65.699315417398481</v>
      </c>
      <c r="E97" s="146">
        <f t="shared" si="6"/>
        <v>-0.11931541739848228</v>
      </c>
      <c r="F97" s="147">
        <f t="shared" si="7"/>
        <v>-1.8160831150286771E-3</v>
      </c>
    </row>
    <row r="98" spans="2:6">
      <c r="B98" s="148">
        <v>95</v>
      </c>
      <c r="C98" s="11">
        <f t="shared" si="10"/>
        <v>65.900000000000006</v>
      </c>
      <c r="D98" s="146">
        <f t="shared" si="5"/>
        <v>65.993210235732818</v>
      </c>
      <c r="E98" s="146">
        <f t="shared" si="6"/>
        <v>-9.3210235732811952E-2</v>
      </c>
      <c r="F98" s="147">
        <f t="shared" si="7"/>
        <v>-1.412421602159597E-3</v>
      </c>
    </row>
    <row r="99" spans="2:6">
      <c r="B99" s="148">
        <v>96</v>
      </c>
      <c r="C99" s="11">
        <f t="shared" si="10"/>
        <v>66.22</v>
      </c>
      <c r="D99" s="146">
        <f t="shared" si="5"/>
        <v>66.284589573366972</v>
      </c>
      <c r="E99" s="146">
        <f t="shared" si="6"/>
        <v>-6.4589573366973241E-2</v>
      </c>
      <c r="F99" s="147">
        <f t="shared" si="7"/>
        <v>-9.7442820092419336E-4</v>
      </c>
    </row>
    <row r="100" spans="2:6">
      <c r="B100" s="148">
        <v>97</v>
      </c>
      <c r="C100" s="11">
        <f t="shared" si="10"/>
        <v>66.539999999999992</v>
      </c>
      <c r="D100" s="146">
        <f t="shared" si="5"/>
        <v>66.573476597471114</v>
      </c>
      <c r="E100" s="146">
        <f t="shared" si="6"/>
        <v>-3.347659747112175E-2</v>
      </c>
      <c r="F100" s="147">
        <f t="shared" si="7"/>
        <v>-5.0285187408094512E-4</v>
      </c>
    </row>
    <row r="101" spans="2:6">
      <c r="B101" s="148">
        <v>98</v>
      </c>
      <c r="C101" s="11">
        <f t="shared" si="10"/>
        <v>66.86</v>
      </c>
      <c r="D101" s="146">
        <f t="shared" si="5"/>
        <v>66.859895395570277</v>
      </c>
      <c r="E101" s="146">
        <f t="shared" si="6"/>
        <v>1.0460442972259898E-4</v>
      </c>
      <c r="F101" s="147">
        <f t="shared" si="7"/>
        <v>1.564531758591059E-6</v>
      </c>
    </row>
    <row r="102" spans="2:6">
      <c r="B102" s="148">
        <v>99</v>
      </c>
      <c r="C102" s="11">
        <f t="shared" si="10"/>
        <v>67.180000000000007</v>
      </c>
      <c r="D102" s="146">
        <f t="shared" si="5"/>
        <v>67.143870960817566</v>
      </c>
      <c r="E102" s="146">
        <f t="shared" si="6"/>
        <v>3.6129039182441147E-2</v>
      </c>
      <c r="F102" s="147">
        <f t="shared" si="7"/>
        <v>5.3808394817633776E-4</v>
      </c>
    </row>
    <row r="103" spans="2:6">
      <c r="B103" s="145">
        <v>100</v>
      </c>
      <c r="C103" s="10">
        <v>67.5</v>
      </c>
      <c r="D103" s="146">
        <f t="shared" si="5"/>
        <v>67.425429176937641</v>
      </c>
      <c r="E103" s="146">
        <f t="shared" si="6"/>
        <v>7.4570823062359182E-2</v>
      </c>
      <c r="F103" s="147">
        <f t="shared" si="7"/>
        <v>1.1059747631219086E-3</v>
      </c>
    </row>
    <row r="104" spans="2:6">
      <c r="B104" s="148">
        <v>101</v>
      </c>
      <c r="C104" s="11">
        <f t="shared" ref="C104:C122" si="11">C$123-(B$123-B104)*((C$123-C$103)/(B$123-B$103))</f>
        <v>67.775000000000006</v>
      </c>
      <c r="D104" s="146">
        <f t="shared" si="5"/>
        <v>67.704596802840513</v>
      </c>
      <c r="E104" s="146">
        <f t="shared" si="6"/>
        <v>7.0403197159492947E-2</v>
      </c>
      <c r="F104" s="147">
        <f t="shared" si="7"/>
        <v>1.0398584510371567E-3</v>
      </c>
    </row>
    <row r="105" spans="2:6">
      <c r="B105" s="148">
        <v>102</v>
      </c>
      <c r="C105" s="11">
        <f t="shared" si="11"/>
        <v>68.05</v>
      </c>
      <c r="D105" s="146">
        <f t="shared" si="5"/>
        <v>67.981401456905502</v>
      </c>
      <c r="E105" s="146">
        <f t="shared" si="6"/>
        <v>6.8598543094495312E-2</v>
      </c>
      <c r="F105" s="147">
        <f t="shared" si="7"/>
        <v>1.009078095248972E-3</v>
      </c>
    </row>
    <row r="106" spans="2:6">
      <c r="B106" s="148">
        <v>103</v>
      </c>
      <c r="C106" s="11">
        <f t="shared" si="11"/>
        <v>68.325000000000003</v>
      </c>
      <c r="D106" s="146">
        <f t="shared" si="5"/>
        <v>68.255871600935365</v>
      </c>
      <c r="E106" s="146">
        <f t="shared" si="6"/>
        <v>6.9128399064638302E-2</v>
      </c>
      <c r="F106" s="147">
        <f t="shared" si="7"/>
        <v>1.0127831854349623E-3</v>
      </c>
    </row>
    <row r="107" spans="2:6">
      <c r="B107" s="148">
        <v>104</v>
      </c>
      <c r="C107" s="11">
        <f t="shared" si="11"/>
        <v>68.599999999999994</v>
      </c>
      <c r="D107" s="146">
        <f t="shared" si="5"/>
        <v>68.528036523780997</v>
      </c>
      <c r="E107" s="146">
        <f t="shared" si="6"/>
        <v>7.1963476218996902E-2</v>
      </c>
      <c r="F107" s="147">
        <f t="shared" si="7"/>
        <v>1.0501318857141229E-3</v>
      </c>
    </row>
    <row r="108" spans="2:6">
      <c r="B108" s="148">
        <v>105</v>
      </c>
      <c r="C108" s="11">
        <f t="shared" si="11"/>
        <v>68.875</v>
      </c>
      <c r="D108" s="146">
        <f t="shared" si="5"/>
        <v>68.797926324635938</v>
      </c>
      <c r="E108" s="146">
        <f t="shared" si="6"/>
        <v>7.7073675364061955E-2</v>
      </c>
      <c r="F108" s="147">
        <f t="shared" si="7"/>
        <v>1.1202906756284658E-3</v>
      </c>
    </row>
    <row r="109" spans="2:6">
      <c r="B109" s="148">
        <v>106</v>
      </c>
      <c r="C109" s="11">
        <f t="shared" si="11"/>
        <v>69.150000000000006</v>
      </c>
      <c r="D109" s="146">
        <f t="shared" si="5"/>
        <v>69.065571896001472</v>
      </c>
      <c r="E109" s="146">
        <f t="shared" si="6"/>
        <v>8.4428103998533288E-2</v>
      </c>
      <c r="F109" s="147">
        <f t="shared" si="7"/>
        <v>1.2224340098951902E-3</v>
      </c>
    </row>
    <row r="110" spans="2:6">
      <c r="B110" s="148">
        <v>107</v>
      </c>
      <c r="C110" s="11">
        <f t="shared" si="11"/>
        <v>69.424999999999997</v>
      </c>
      <c r="D110" s="146">
        <f t="shared" si="5"/>
        <v>69.331004906321851</v>
      </c>
      <c r="E110" s="146">
        <f t="shared" si="6"/>
        <v>9.3995093678145736E-2</v>
      </c>
      <c r="F110" s="147">
        <f t="shared" si="7"/>
        <v>1.3557439965734552E-3</v>
      </c>
    </row>
    <row r="111" spans="2:6">
      <c r="B111" s="148">
        <v>108</v>
      </c>
      <c r="C111" s="11">
        <f t="shared" si="11"/>
        <v>69.7</v>
      </c>
      <c r="D111" s="146">
        <f t="shared" si="5"/>
        <v>69.594257782289702</v>
      </c>
      <c r="E111" s="146">
        <f t="shared" si="6"/>
        <v>0.10574221771030068</v>
      </c>
      <c r="F111" s="147">
        <f t="shared" si="7"/>
        <v>1.5194100933024757E-3</v>
      </c>
    </row>
    <row r="112" spans="2:6">
      <c r="B112" s="148">
        <v>109</v>
      </c>
      <c r="C112" s="11">
        <f t="shared" si="11"/>
        <v>69.974999999999994</v>
      </c>
      <c r="D112" s="146">
        <f t="shared" si="5"/>
        <v>69.855363690821832</v>
      </c>
      <c r="E112" s="146">
        <f t="shared" si="6"/>
        <v>0.11963630917816204</v>
      </c>
      <c r="F112" s="147">
        <f t="shared" si="7"/>
        <v>1.7126288212838681E-3</v>
      </c>
    </row>
    <row r="113" spans="2:6">
      <c r="B113" s="148">
        <v>110</v>
      </c>
      <c r="C113" s="11">
        <f t="shared" si="11"/>
        <v>70.25</v>
      </c>
      <c r="D113" s="146">
        <f t="shared" si="5"/>
        <v>70.114356520705115</v>
      </c>
      <c r="E113" s="146">
        <f t="shared" si="6"/>
        <v>0.13564347929488463</v>
      </c>
      <c r="F113" s="147">
        <f t="shared" si="7"/>
        <v>1.9346034967151482E-3</v>
      </c>
    </row>
    <row r="114" spans="2:6">
      <c r="B114" s="148">
        <v>111</v>
      </c>
      <c r="C114" s="11">
        <f t="shared" si="11"/>
        <v>70.525000000000006</v>
      </c>
      <c r="D114" s="146">
        <f t="shared" si="5"/>
        <v>70.371270863912812</v>
      </c>
      <c r="E114" s="146">
        <f t="shared" si="6"/>
        <v>0.1537291360871933</v>
      </c>
      <c r="F114" s="147">
        <f t="shared" si="7"/>
        <v>2.1845439793815036E-3</v>
      </c>
    </row>
    <row r="115" spans="2:6">
      <c r="B115" s="148">
        <v>112</v>
      </c>
      <c r="C115" s="11">
        <f t="shared" si="11"/>
        <v>70.8</v>
      </c>
      <c r="D115" s="146">
        <f t="shared" si="5"/>
        <v>70.626141996590917</v>
      </c>
      <c r="E115" s="146">
        <f t="shared" si="6"/>
        <v>0.1738580034090802</v>
      </c>
      <c r="F115" s="147">
        <f t="shared" si="7"/>
        <v>2.4616664381507114E-3</v>
      </c>
    </row>
    <row r="116" spans="2:6">
      <c r="B116" s="148">
        <v>113</v>
      </c>
      <c r="C116" s="11">
        <f t="shared" si="11"/>
        <v>71.075000000000003</v>
      </c>
      <c r="D116" s="146">
        <f t="shared" si="5"/>
        <v>70.879005859714994</v>
      </c>
      <c r="E116" s="146">
        <f t="shared" si="6"/>
        <v>0.19599414028500917</v>
      </c>
      <c r="F116" s="147">
        <f t="shared" si="7"/>
        <v>2.7651931331109658E-3</v>
      </c>
    </row>
    <row r="117" spans="2:6">
      <c r="B117" s="148">
        <v>114</v>
      </c>
      <c r="C117" s="11">
        <f t="shared" si="11"/>
        <v>71.349999999999994</v>
      </c>
      <c r="D117" s="146">
        <f t="shared" si="5"/>
        <v>71.129899039417069</v>
      </c>
      <c r="E117" s="146">
        <f t="shared" si="6"/>
        <v>0.22010096058292561</v>
      </c>
      <c r="F117" s="147">
        <f t="shared" si="7"/>
        <v>3.0943522141224644E-3</v>
      </c>
    </row>
    <row r="118" spans="2:6">
      <c r="B118" s="148">
        <v>115</v>
      </c>
      <c r="C118" s="11">
        <f t="shared" si="11"/>
        <v>71.625</v>
      </c>
      <c r="D118" s="146">
        <f t="shared" si="5"/>
        <v>71.378858746982814</v>
      </c>
      <c r="E118" s="146">
        <f t="shared" si="6"/>
        <v>0.24614125301718559</v>
      </c>
      <c r="F118" s="147">
        <f t="shared" si="7"/>
        <v>3.4483775355624857E-3</v>
      </c>
    </row>
    <row r="119" spans="2:6">
      <c r="B119" s="148">
        <v>116</v>
      </c>
      <c r="C119" s="11">
        <f t="shared" si="11"/>
        <v>71.900000000000006</v>
      </c>
      <c r="D119" s="146">
        <f t="shared" si="5"/>
        <v>71.625922798519099</v>
      </c>
      <c r="E119" s="146">
        <f t="shared" si="6"/>
        <v>0.27407720148090675</v>
      </c>
      <c r="F119" s="147">
        <f t="shared" si="7"/>
        <v>3.8265084870441335E-3</v>
      </c>
    </row>
    <row r="120" spans="2:6">
      <c r="B120" s="148">
        <v>117</v>
      </c>
      <c r="C120" s="11">
        <f t="shared" si="11"/>
        <v>72.174999999999997</v>
      </c>
      <c r="D120" s="146">
        <f t="shared" si="5"/>
        <v>71.871129594291688</v>
      </c>
      <c r="E120" s="146">
        <f t="shared" si="6"/>
        <v>0.30387040570830948</v>
      </c>
      <c r="F120" s="147">
        <f t="shared" si="7"/>
        <v>4.2279898399208982E-3</v>
      </c>
    </row>
    <row r="121" spans="2:6">
      <c r="B121" s="148">
        <v>118</v>
      </c>
      <c r="C121" s="11">
        <f t="shared" si="11"/>
        <v>72.45</v>
      </c>
      <c r="D121" s="146">
        <f t="shared" si="5"/>
        <v>72.11451809773304</v>
      </c>
      <c r="E121" s="146">
        <f t="shared" si="6"/>
        <v>0.33548190226696306</v>
      </c>
      <c r="F121" s="147">
        <f t="shared" si="7"/>
        <v>4.6520716093851888E-3</v>
      </c>
    </row>
    <row r="122" spans="2:6">
      <c r="B122" s="148">
        <v>119</v>
      </c>
      <c r="C122" s="11">
        <f t="shared" si="11"/>
        <v>72.724999999999994</v>
      </c>
      <c r="D122" s="146">
        <f t="shared" si="5"/>
        <v>72.356127814120782</v>
      </c>
      <c r="E122" s="146">
        <f t="shared" si="6"/>
        <v>0.36887218587921211</v>
      </c>
      <c r="F122" s="147">
        <f t="shared" si="7"/>
        <v>5.0980089319707655E-3</v>
      </c>
    </row>
    <row r="123" spans="2:6">
      <c r="B123" s="145">
        <v>120</v>
      </c>
      <c r="C123" s="10">
        <v>73</v>
      </c>
      <c r="D123" s="146">
        <f t="shared" si="5"/>
        <v>72.595998768925938</v>
      </c>
      <c r="E123" s="146">
        <f t="shared" si="6"/>
        <v>0.40400123107406216</v>
      </c>
      <c r="F123" s="147">
        <f t="shared" si="7"/>
        <v>5.5650619583043071E-3</v>
      </c>
    </row>
    <row r="124" spans="2:6">
      <c r="B124" s="148">
        <v>121</v>
      </c>
      <c r="C124" s="11">
        <f t="shared" ref="C124:C142" si="12">C$143-(B$143-B124)*((C$143-C$123)/(B$143-B$123))</f>
        <v>73.2</v>
      </c>
      <c r="D124" s="146">
        <f t="shared" si="5"/>
        <v>72.834171485831703</v>
      </c>
      <c r="E124" s="146">
        <f t="shared" si="6"/>
        <v>0.36582851416829953</v>
      </c>
      <c r="F124" s="147">
        <f t="shared" si="7"/>
        <v>5.0227593271856552E-3</v>
      </c>
    </row>
    <row r="125" spans="2:6">
      <c r="B125" s="148">
        <v>122</v>
      </c>
      <c r="C125" s="11">
        <f t="shared" si="12"/>
        <v>73.400000000000006</v>
      </c>
      <c r="D125" s="146">
        <f t="shared" si="5"/>
        <v>73.070686964422464</v>
      </c>
      <c r="E125" s="146">
        <f t="shared" si="6"/>
        <v>0.32931303557754177</v>
      </c>
      <c r="F125" s="147">
        <f t="shared" si="7"/>
        <v>4.5067734991719455E-3</v>
      </c>
    </row>
    <row r="126" spans="2:6">
      <c r="B126" s="148">
        <v>123</v>
      </c>
      <c r="C126" s="11">
        <f t="shared" si="12"/>
        <v>73.599999999999994</v>
      </c>
      <c r="D126" s="146">
        <f t="shared" si="5"/>
        <v>73.305586657542889</v>
      </c>
      <c r="E126" s="146">
        <f t="shared" si="6"/>
        <v>0.29441334245710493</v>
      </c>
      <c r="F126" s="147">
        <f t="shared" si="7"/>
        <v>4.0162469994613481E-3</v>
      </c>
    </row>
    <row r="127" spans="2:6">
      <c r="B127" s="148">
        <v>124</v>
      </c>
      <c r="C127" s="11">
        <f t="shared" si="12"/>
        <v>73.8</v>
      </c>
      <c r="D127" s="146">
        <f t="shared" si="5"/>
        <v>73.538912448327437</v>
      </c>
      <c r="E127" s="146">
        <f t="shared" si="6"/>
        <v>0.26108755167255993</v>
      </c>
      <c r="F127" s="147">
        <f t="shared" si="7"/>
        <v>3.5503319668483968E-3</v>
      </c>
    </row>
    <row r="128" spans="2:6">
      <c r="B128" s="148">
        <v>125</v>
      </c>
      <c r="C128" s="11">
        <f t="shared" si="12"/>
        <v>74</v>
      </c>
      <c r="D128" s="146">
        <f t="shared" si="5"/>
        <v>73.770706626900051</v>
      </c>
      <c r="E128" s="146">
        <f t="shared" si="6"/>
        <v>0.22929337309994935</v>
      </c>
      <c r="F128" s="147">
        <f t="shared" si="7"/>
        <v>3.1081900063614221E-3</v>
      </c>
    </row>
    <row r="129" spans="2:6">
      <c r="B129" s="148">
        <v>126</v>
      </c>
      <c r="C129" s="11">
        <f t="shared" si="12"/>
        <v>74.2</v>
      </c>
      <c r="D129" s="146">
        <f t="shared" si="5"/>
        <v>74.001011866744093</v>
      </c>
      <c r="E129" s="146">
        <f t="shared" si="6"/>
        <v>0.19898813325590936</v>
      </c>
      <c r="F129" s="147">
        <f t="shared" si="7"/>
        <v>2.6889920588415439E-3</v>
      </c>
    </row>
    <row r="130" spans="2:6">
      <c r="B130" s="148">
        <v>127</v>
      </c>
      <c r="C130" s="11">
        <f t="shared" si="12"/>
        <v>74.400000000000006</v>
      </c>
      <c r="D130" s="146">
        <f t="shared" si="5"/>
        <v>74.229871200742508</v>
      </c>
      <c r="E130" s="146">
        <f t="shared" si="6"/>
        <v>0.17012879925749758</v>
      </c>
      <c r="F130" s="147">
        <f t="shared" si="7"/>
        <v>2.2919182871463661E-3</v>
      </c>
    </row>
    <row r="131" spans="2:6">
      <c r="B131" s="148">
        <v>128</v>
      </c>
      <c r="C131" s="11">
        <f t="shared" si="12"/>
        <v>74.599999999999994</v>
      </c>
      <c r="D131" s="146">
        <f t="shared" si="5"/>
        <v>74.457327996888353</v>
      </c>
      <c r="E131" s="146">
        <f t="shared" si="6"/>
        <v>0.14267200311164174</v>
      </c>
      <c r="F131" s="147">
        <f t="shared" si="7"/>
        <v>1.9161579786692862E-3</v>
      </c>
    </row>
    <row r="132" spans="2:6">
      <c r="B132" s="148">
        <v>129</v>
      </c>
      <c r="C132" s="11">
        <f t="shared" si="12"/>
        <v>74.8</v>
      </c>
      <c r="D132" s="146">
        <f t="shared" ref="D132:D195" si="13">IF(B132&lt;5,0,IF(B132&lt;30,($N$15*B132^6)+($N$16*B132^5)+($N$17*B132^4)+($N$18*B132^3)+($N$19*B132^2)+($N$20*B132)+$N$21,IF(B132&lt;250,($N$6*B132^6)+($N$7*B132^5)+($N$8*B132^4)+($N$9*B132^3)+($N$10*B132^2)+($N$11*B132)+$N$12,IF(B132&lt;1000,(2.363443+6.066492*B132/100-2.085061*(B132/100)^2+0.4751229*(B132/100)^3-0.05086087*(B132/100)^4+0.001382764*(B132/100)^5+0.0001469133*(B132/100)^6-0.000008531221*(B132/100)^7)*10,IF(B132&lt;9000,(0.8759882+1.259865*(B132/1000)-0.02582505*(B132/1000)^2+0.0008687869*(B132/1000)^3-0.0000101455*(B132/1000)^4)*100,(0.095*B132)+205)))))</f>
        <v>74.683425933665347</v>
      </c>
      <c r="E132" s="146">
        <f t="shared" si="6"/>
        <v>0.11657406633464973</v>
      </c>
      <c r="F132" s="147">
        <f t="shared" si="7"/>
        <v>1.5609094638775467E-3</v>
      </c>
    </row>
    <row r="133" spans="2:6">
      <c r="B133" s="148">
        <v>130</v>
      </c>
      <c r="C133" s="11">
        <f t="shared" si="12"/>
        <v>75</v>
      </c>
      <c r="D133" s="146">
        <f t="shared" si="13"/>
        <v>74.908208975098972</v>
      </c>
      <c r="E133" s="146">
        <f t="shared" si="6"/>
        <v>9.179102490102764E-2</v>
      </c>
      <c r="F133" s="147">
        <f t="shared" si="7"/>
        <v>1.2253800505568346E-3</v>
      </c>
    </row>
    <row r="134" spans="2:6">
      <c r="B134" s="148">
        <v>131</v>
      </c>
      <c r="C134" s="11">
        <f t="shared" si="12"/>
        <v>75.2</v>
      </c>
      <c r="D134" s="146">
        <f t="shared" si="13"/>
        <v>75.131721345477487</v>
      </c>
      <c r="E134" s="146">
        <f t="shared" si="6"/>
        <v>6.8278654522515581E-2</v>
      </c>
      <c r="F134" s="147">
        <f t="shared" si="7"/>
        <v>9.0878597348442725E-4</v>
      </c>
    </row>
    <row r="135" spans="2:6">
      <c r="B135" s="148">
        <v>132</v>
      </c>
      <c r="C135" s="11">
        <f t="shared" si="12"/>
        <v>75.400000000000006</v>
      </c>
      <c r="D135" s="146">
        <f t="shared" si="13"/>
        <v>75.354007503743532</v>
      </c>
      <c r="E135" s="146">
        <f t="shared" si="6"/>
        <v>4.5992496256474169E-2</v>
      </c>
      <c r="F135" s="147">
        <f t="shared" si="7"/>
        <v>6.1035235921846898E-4</v>
      </c>
    </row>
    <row r="136" spans="2:6">
      <c r="B136" s="148">
        <v>133</v>
      </c>
      <c r="C136" s="11">
        <f t="shared" si="12"/>
        <v>75.599999999999994</v>
      </c>
      <c r="D136" s="146">
        <f t="shared" si="13"/>
        <v>75.575112117555676</v>
      </c>
      <c r="E136" s="146">
        <f t="shared" ref="E136:E199" si="14">C136-D136</f>
        <v>2.4887882444318166E-2</v>
      </c>
      <c r="F136" s="147">
        <f t="shared" ref="F136:F199" si="15">C136/D136-1</f>
        <v>3.2931320572315848E-4</v>
      </c>
    </row>
    <row r="137" spans="2:6">
      <c r="B137" s="148">
        <v>134</v>
      </c>
      <c r="C137" s="11">
        <f t="shared" si="12"/>
        <v>75.8</v>
      </c>
      <c r="D137" s="146">
        <f t="shared" si="13"/>
        <v>75.79508003702044</v>
      </c>
      <c r="E137" s="146">
        <f t="shared" si="14"/>
        <v>4.919962979556658E-3</v>
      </c>
      <c r="F137" s="147">
        <f t="shared" si="15"/>
        <v>6.491137653208412E-5</v>
      </c>
    </row>
    <row r="138" spans="2:6">
      <c r="B138" s="148">
        <v>135</v>
      </c>
      <c r="C138" s="11">
        <f t="shared" si="12"/>
        <v>76</v>
      </c>
      <c r="D138" s="146">
        <f t="shared" si="13"/>
        <v>76.013956268094404</v>
      </c>
      <c r="E138" s="146">
        <f t="shared" si="14"/>
        <v>-1.3956268094403868E-2</v>
      </c>
      <c r="F138" s="147">
        <f t="shared" si="15"/>
        <v>-1.8360139084439009E-4</v>
      </c>
    </row>
    <row r="139" spans="2:6">
      <c r="B139" s="148">
        <v>136</v>
      </c>
      <c r="C139" s="11">
        <f t="shared" si="12"/>
        <v>76.2</v>
      </c>
      <c r="D139" s="146">
        <f t="shared" si="13"/>
        <v>76.23178594565664</v>
      </c>
      <c r="E139" s="146">
        <f t="shared" si="14"/>
        <v>-3.1785945656636727E-2</v>
      </c>
      <c r="F139" s="147">
        <f t="shared" si="15"/>
        <v>-4.1696446255756747E-4</v>
      </c>
    </row>
    <row r="140" spans="2:6">
      <c r="B140" s="148">
        <v>137</v>
      </c>
      <c r="C140" s="11">
        <f t="shared" si="12"/>
        <v>76.400000000000006</v>
      </c>
      <c r="D140" s="146">
        <f t="shared" si="13"/>
        <v>76.448614306251528</v>
      </c>
      <c r="E140" s="146">
        <f t="shared" si="14"/>
        <v>-4.8614306251522521E-2</v>
      </c>
      <c r="F140" s="147">
        <f t="shared" si="15"/>
        <v>-6.3590827240866954E-4</v>
      </c>
    </row>
    <row r="141" spans="2:6">
      <c r="B141" s="148">
        <v>138</v>
      </c>
      <c r="C141" s="11">
        <f t="shared" si="12"/>
        <v>76.599999999999994</v>
      </c>
      <c r="D141" s="146">
        <f t="shared" si="13"/>
        <v>76.664486660501439</v>
      </c>
      <c r="E141" s="146">
        <f t="shared" si="14"/>
        <v>-6.4486660501444248E-2</v>
      </c>
      <c r="F141" s="147">
        <f t="shared" si="15"/>
        <v>-8.4115427247322128E-4</v>
      </c>
    </row>
    <row r="142" spans="2:6">
      <c r="B142" s="148">
        <v>139</v>
      </c>
      <c r="C142" s="11">
        <f t="shared" si="12"/>
        <v>76.8</v>
      </c>
      <c r="D142" s="146">
        <f t="shared" si="13"/>
        <v>76.879448365190115</v>
      </c>
      <c r="E142" s="146">
        <f t="shared" si="14"/>
        <v>-7.9448365190117443E-2</v>
      </c>
      <c r="F142" s="147">
        <f t="shared" si="15"/>
        <v>-1.0334148706780955E-3</v>
      </c>
    </row>
    <row r="143" spans="2:6">
      <c r="B143" s="145">
        <v>140</v>
      </c>
      <c r="C143" s="10">
        <v>77</v>
      </c>
      <c r="D143" s="146">
        <f t="shared" si="13"/>
        <v>77.093544795015958</v>
      </c>
      <c r="E143" s="146">
        <f t="shared" si="14"/>
        <v>-9.3544795015958471E-2</v>
      </c>
      <c r="F143" s="147">
        <f t="shared" si="15"/>
        <v>-1.2133933556264243E-3</v>
      </c>
    </row>
    <row r="144" spans="2:6">
      <c r="B144" s="148">
        <v>141</v>
      </c>
      <c r="C144" s="11">
        <f t="shared" ref="C144:C162" si="16">C$163-(B$163-B144)*((C$163-C$143)/(B$163-B$143))</f>
        <v>77.2</v>
      </c>
      <c r="D144" s="146">
        <f t="shared" si="13"/>
        <v>77.306821314015821</v>
      </c>
      <c r="E144" s="146">
        <f t="shared" si="14"/>
        <v>-0.10682131401581785</v>
      </c>
      <c r="F144" s="147">
        <f t="shared" si="15"/>
        <v>-1.3817838089852374E-3</v>
      </c>
    </row>
    <row r="145" spans="2:6">
      <c r="B145" s="148">
        <v>142</v>
      </c>
      <c r="C145" s="11">
        <f t="shared" si="16"/>
        <v>77.400000000000006</v>
      </c>
      <c r="D145" s="146">
        <f t="shared" si="13"/>
        <v>77.519323246658786</v>
      </c>
      <c r="E145" s="146">
        <f t="shared" si="14"/>
        <v>-0.11932324665878014</v>
      </c>
      <c r="F145" s="147">
        <f t="shared" si="15"/>
        <v>-1.5392710057479109E-3</v>
      </c>
    </row>
    <row r="146" spans="2:6">
      <c r="B146" s="148">
        <v>143</v>
      </c>
      <c r="C146" s="11">
        <f t="shared" si="16"/>
        <v>77.599999999999994</v>
      </c>
      <c r="D146" s="146">
        <f t="shared" si="13"/>
        <v>77.731095848610465</v>
      </c>
      <c r="E146" s="146">
        <f t="shared" si="14"/>
        <v>-0.13109584861047097</v>
      </c>
      <c r="F146" s="147">
        <f t="shared" si="15"/>
        <v>-1.6865303026962764E-3</v>
      </c>
    </row>
    <row r="147" spans="2:6">
      <c r="B147" s="148">
        <v>144</v>
      </c>
      <c r="C147" s="11">
        <f t="shared" si="16"/>
        <v>77.8</v>
      </c>
      <c r="D147" s="146">
        <f t="shared" si="13"/>
        <v>77.942184277167314</v>
      </c>
      <c r="E147" s="146">
        <f t="shared" si="14"/>
        <v>-0.14218427716731696</v>
      </c>
      <c r="F147" s="147">
        <f t="shared" si="15"/>
        <v>-1.8242275153811383E-3</v>
      </c>
    </row>
    <row r="148" spans="2:6">
      <c r="B148" s="148">
        <v>145</v>
      </c>
      <c r="C148" s="11">
        <f t="shared" si="16"/>
        <v>78</v>
      </c>
      <c r="D148" s="146">
        <f t="shared" si="13"/>
        <v>78.152633561361284</v>
      </c>
      <c r="E148" s="146">
        <f t="shared" si="14"/>
        <v>-0.15263356136128436</v>
      </c>
      <c r="F148" s="147">
        <f t="shared" si="15"/>
        <v>-1.9530187839600366E-3</v>
      </c>
    </row>
    <row r="149" spans="2:6">
      <c r="B149" s="148">
        <v>146</v>
      </c>
      <c r="C149" s="11">
        <f t="shared" si="16"/>
        <v>78.2</v>
      </c>
      <c r="D149" s="146">
        <f t="shared" si="13"/>
        <v>78.3624885717349</v>
      </c>
      <c r="E149" s="146">
        <f t="shared" si="14"/>
        <v>-0.16248857173489739</v>
      </c>
      <c r="F149" s="147">
        <f t="shared" si="15"/>
        <v>-2.0735504282275441E-3</v>
      </c>
    </row>
    <row r="150" spans="2:6">
      <c r="B150" s="148">
        <v>147</v>
      </c>
      <c r="C150" s="11">
        <f t="shared" si="16"/>
        <v>78.400000000000006</v>
      </c>
      <c r="D150" s="146">
        <f t="shared" si="13"/>
        <v>78.571793989786187</v>
      </c>
      <c r="E150" s="146">
        <f t="shared" si="14"/>
        <v>-0.1717939897861811</v>
      </c>
      <c r="F150" s="147">
        <f t="shared" si="15"/>
        <v>-2.1864587921781586E-3</v>
      </c>
    </row>
    <row r="151" spans="2:6">
      <c r="B151" s="148">
        <v>148</v>
      </c>
      <c r="C151" s="11">
        <f t="shared" si="16"/>
        <v>78.599999999999994</v>
      </c>
      <c r="D151" s="146">
        <f t="shared" si="13"/>
        <v>78.780594277084276</v>
      </c>
      <c r="E151" s="146">
        <f t="shared" si="14"/>
        <v>-0.18059427708428188</v>
      </c>
      <c r="F151" s="147">
        <f t="shared" si="15"/>
        <v>-2.2923700784625023E-3</v>
      </c>
    </row>
    <row r="152" spans="2:6">
      <c r="B152" s="148">
        <v>149</v>
      </c>
      <c r="C152" s="11">
        <f t="shared" si="16"/>
        <v>78.8</v>
      </c>
      <c r="D152" s="146">
        <f t="shared" si="13"/>
        <v>78.988933644054896</v>
      </c>
      <c r="E152" s="146">
        <f t="shared" si="14"/>
        <v>-0.18893364405489876</v>
      </c>
      <c r="F152" s="147">
        <f t="shared" si="15"/>
        <v>-2.3919001730835499E-3</v>
      </c>
    </row>
    <row r="153" spans="2:6">
      <c r="B153" s="148">
        <v>150</v>
      </c>
      <c r="C153" s="11">
        <f t="shared" si="16"/>
        <v>79</v>
      </c>
      <c r="D153" s="146">
        <f t="shared" si="13"/>
        <v>79.196856018436392</v>
      </c>
      <c r="E153" s="146">
        <f t="shared" si="14"/>
        <v>-0.19685601843639233</v>
      </c>
      <c r="F153" s="147">
        <f t="shared" si="15"/>
        <v>-2.4856544607094744E-3</v>
      </c>
    </row>
    <row r="154" spans="2:6">
      <c r="B154" s="148">
        <v>151</v>
      </c>
      <c r="C154" s="11">
        <f t="shared" si="16"/>
        <v>79.2</v>
      </c>
      <c r="D154" s="146">
        <f t="shared" si="13"/>
        <v>79.404405013405864</v>
      </c>
      <c r="E154" s="146">
        <f t="shared" si="14"/>
        <v>-0.20440501340586081</v>
      </c>
      <c r="F154" s="147">
        <f t="shared" si="15"/>
        <v>-2.5742276309651535E-3</v>
      </c>
    </row>
    <row r="155" spans="2:6">
      <c r="B155" s="148">
        <v>152</v>
      </c>
      <c r="C155" s="11">
        <f t="shared" si="16"/>
        <v>79.400000000000006</v>
      </c>
      <c r="D155" s="146">
        <f t="shared" si="13"/>
        <v>79.611623895375516</v>
      </c>
      <c r="E155" s="146">
        <f t="shared" si="14"/>
        <v>-0.21162389537551007</v>
      </c>
      <c r="F155" s="147">
        <f t="shared" si="15"/>
        <v>-2.6582034760856965E-3</v>
      </c>
    </row>
    <row r="156" spans="2:6">
      <c r="B156" s="148">
        <v>153</v>
      </c>
      <c r="C156" s="11">
        <f t="shared" si="16"/>
        <v>79.599999999999994</v>
      </c>
      <c r="D156" s="146">
        <f t="shared" si="13"/>
        <v>79.818555551459369</v>
      </c>
      <c r="E156" s="146">
        <f t="shared" si="14"/>
        <v>-0.21855555145937444</v>
      </c>
      <c r="F156" s="147">
        <f t="shared" si="15"/>
        <v>-2.7381546803170176E-3</v>
      </c>
    </row>
    <row r="157" spans="2:6">
      <c r="B157" s="148">
        <v>154</v>
      </c>
      <c r="C157" s="11">
        <f t="shared" si="16"/>
        <v>79.8</v>
      </c>
      <c r="D157" s="146">
        <f t="shared" si="13"/>
        <v>80.025242456610073</v>
      </c>
      <c r="E157" s="146">
        <f t="shared" si="14"/>
        <v>-0.22524245661007569</v>
      </c>
      <c r="F157" s="147">
        <f t="shared" si="15"/>
        <v>-2.8146426014541426E-3</v>
      </c>
    </row>
    <row r="158" spans="2:6">
      <c r="B158" s="148">
        <v>155</v>
      </c>
      <c r="C158" s="11">
        <f t="shared" si="16"/>
        <v>80</v>
      </c>
      <c r="D158" s="146">
        <f t="shared" si="13"/>
        <v>80.231726640426132</v>
      </c>
      <c r="E158" s="146">
        <f t="shared" si="14"/>
        <v>-0.23172664042613178</v>
      </c>
      <c r="F158" s="147">
        <f t="shared" si="15"/>
        <v>-2.8882170449185951E-3</v>
      </c>
    </row>
    <row r="159" spans="2:6">
      <c r="B159" s="148">
        <v>156</v>
      </c>
      <c r="C159" s="11">
        <f t="shared" si="16"/>
        <v>80.2</v>
      </c>
      <c r="D159" s="146">
        <f t="shared" si="13"/>
        <v>80.438049653629292</v>
      </c>
      <c r="E159" s="146">
        <f t="shared" si="14"/>
        <v>-0.23804965362928954</v>
      </c>
      <c r="F159" s="147">
        <f t="shared" si="15"/>
        <v>-2.9594160307757633E-3</v>
      </c>
    </row>
    <row r="160" spans="2:6">
      <c r="B160" s="148">
        <v>157</v>
      </c>
      <c r="C160" s="11">
        <f t="shared" si="16"/>
        <v>80.400000000000006</v>
      </c>
      <c r="D160" s="146">
        <f t="shared" si="13"/>
        <v>80.644252534212143</v>
      </c>
      <c r="E160" s="146">
        <f t="shared" si="14"/>
        <v>-0.24425253421213711</v>
      </c>
      <c r="F160" s="147">
        <f t="shared" si="15"/>
        <v>-3.0287655541045844E-3</v>
      </c>
    </row>
    <row r="161" spans="2:6">
      <c r="B161" s="148">
        <v>158</v>
      </c>
      <c r="C161" s="11">
        <f t="shared" si="16"/>
        <v>80.599999999999994</v>
      </c>
      <c r="D161" s="146">
        <f t="shared" si="13"/>
        <v>80.850375773255976</v>
      </c>
      <c r="E161" s="146">
        <f t="shared" si="14"/>
        <v>-0.25037577325598193</v>
      </c>
      <c r="F161" s="147">
        <f t="shared" si="15"/>
        <v>-3.096779339135769E-3</v>
      </c>
    </row>
    <row r="162" spans="2:6">
      <c r="B162" s="148">
        <v>159</v>
      </c>
      <c r="C162" s="11">
        <f t="shared" si="16"/>
        <v>80.8</v>
      </c>
      <c r="D162" s="146">
        <f t="shared" si="13"/>
        <v>81.056459280419091</v>
      </c>
      <c r="E162" s="146">
        <f t="shared" si="14"/>
        <v>-0.25645928041909372</v>
      </c>
      <c r="F162" s="147">
        <f t="shared" si="15"/>
        <v>-3.1639585875797849E-3</v>
      </c>
    </row>
    <row r="163" spans="2:6">
      <c r="B163" s="145">
        <v>160</v>
      </c>
      <c r="C163" s="10">
        <v>81</v>
      </c>
      <c r="D163" s="146">
        <f t="shared" si="13"/>
        <v>81.262542349095014</v>
      </c>
      <c r="E163" s="146">
        <f t="shared" si="14"/>
        <v>-0.26254234909501406</v>
      </c>
      <c r="F163" s="147">
        <f t="shared" si="15"/>
        <v>-3.2307917215678161E-3</v>
      </c>
    </row>
    <row r="164" spans="2:6" ht="13.5" customHeight="1">
      <c r="B164" s="148">
        <v>161</v>
      </c>
      <c r="C164" s="11">
        <f t="shared" ref="C164:C182" si="17">C$183-(B$183-B164)*((C$183-C$163)/(B$183-B$163))</f>
        <v>81.224999999999994</v>
      </c>
      <c r="D164" s="146">
        <f t="shared" si="13"/>
        <v>81.468663621241134</v>
      </c>
      <c r="E164" s="146">
        <f t="shared" si="14"/>
        <v>-0.24366362124114005</v>
      </c>
      <c r="F164" s="147">
        <f t="shared" si="15"/>
        <v>-2.9908876666243644E-3</v>
      </c>
    </row>
    <row r="165" spans="2:6" ht="13.5" customHeight="1">
      <c r="B165" s="148">
        <v>162</v>
      </c>
      <c r="C165" s="11">
        <f t="shared" si="17"/>
        <v>81.45</v>
      </c>
      <c r="D165" s="146">
        <f t="shared" si="13"/>
        <v>81.674861051877713</v>
      </c>
      <c r="E165" s="146">
        <f t="shared" si="14"/>
        <v>-0.22486105187770988</v>
      </c>
      <c r="F165" s="147">
        <f t="shared" si="15"/>
        <v>-2.7531243883583967E-3</v>
      </c>
    </row>
    <row r="166" spans="2:6" ht="13.5" customHeight="1">
      <c r="B166" s="148">
        <v>163</v>
      </c>
      <c r="C166" s="11">
        <f t="shared" si="17"/>
        <v>81.674999999999997</v>
      </c>
      <c r="D166" s="146">
        <f t="shared" si="13"/>
        <v>81.881171873256903</v>
      </c>
      <c r="E166" s="146">
        <f t="shared" si="14"/>
        <v>-0.20617187325690622</v>
      </c>
      <c r="F166" s="147">
        <f t="shared" si="15"/>
        <v>-2.5179399432148086E-3</v>
      </c>
    </row>
    <row r="167" spans="2:6">
      <c r="B167" s="148">
        <v>164</v>
      </c>
      <c r="C167" s="11">
        <f t="shared" si="17"/>
        <v>81.900000000000006</v>
      </c>
      <c r="D167" s="146">
        <f t="shared" si="13"/>
        <v>82.087632558702182</v>
      </c>
      <c r="E167" s="146">
        <f t="shared" si="14"/>
        <v>-0.18763255870217677</v>
      </c>
      <c r="F167" s="147">
        <f t="shared" si="15"/>
        <v>-2.2857591680207623E-3</v>
      </c>
    </row>
    <row r="168" spans="2:6">
      <c r="B168" s="148">
        <v>165</v>
      </c>
      <c r="C168" s="11">
        <f t="shared" si="17"/>
        <v>82.125</v>
      </c>
      <c r="D168" s="146">
        <f t="shared" si="13"/>
        <v>82.294278786118042</v>
      </c>
      <c r="E168" s="146">
        <f t="shared" si="14"/>
        <v>-0.16927878611804204</v>
      </c>
      <c r="F168" s="147">
        <f t="shared" si="15"/>
        <v>-2.0569933732330625E-3</v>
      </c>
    </row>
    <row r="169" spans="2:6">
      <c r="B169" s="148">
        <v>166</v>
      </c>
      <c r="C169" s="11">
        <f t="shared" si="17"/>
        <v>82.35</v>
      </c>
      <c r="D169" s="146">
        <f t="shared" si="13"/>
        <v>82.50114540116968</v>
      </c>
      <c r="E169" s="146">
        <f t="shared" si="14"/>
        <v>-0.15114540116968556</v>
      </c>
      <c r="F169" s="147">
        <f t="shared" si="15"/>
        <v>-1.8320400333198261E-3</v>
      </c>
    </row>
    <row r="170" spans="2:6">
      <c r="B170" s="148">
        <v>167</v>
      </c>
      <c r="C170" s="11">
        <f t="shared" si="17"/>
        <v>82.575000000000003</v>
      </c>
      <c r="D170" s="146">
        <f t="shared" si="13"/>
        <v>82.708266380133324</v>
      </c>
      <c r="E170" s="146">
        <f t="shared" si="14"/>
        <v>-0.13326638013332115</v>
      </c>
      <c r="F170" s="147">
        <f t="shared" si="15"/>
        <v>-1.6112824747265275E-3</v>
      </c>
    </row>
    <row r="171" spans="2:6">
      <c r="B171" s="148">
        <v>168</v>
      </c>
      <c r="C171" s="11">
        <f t="shared" si="17"/>
        <v>82.8</v>
      </c>
      <c r="D171" s="146">
        <f t="shared" si="13"/>
        <v>82.915674792416439</v>
      </c>
      <c r="E171" s="146">
        <f t="shared" si="14"/>
        <v>-0.11567479241644207</v>
      </c>
      <c r="F171" s="147">
        <f t="shared" si="15"/>
        <v>-1.395089561847529E-3</v>
      </c>
    </row>
    <row r="172" spans="2:6">
      <c r="B172" s="148">
        <v>169</v>
      </c>
      <c r="C172" s="11">
        <f t="shared" si="17"/>
        <v>83.025000000000006</v>
      </c>
      <c r="D172" s="146">
        <f t="shared" si="13"/>
        <v>83.123402762748555</v>
      </c>
      <c r="E172" s="146">
        <f t="shared" si="14"/>
        <v>-9.8402762748548867E-2</v>
      </c>
      <c r="F172" s="147">
        <f t="shared" si="15"/>
        <v>-1.1838153814445196E-3</v>
      </c>
    </row>
    <row r="173" spans="2:6">
      <c r="B173" s="148">
        <v>170</v>
      </c>
      <c r="C173" s="11">
        <f t="shared" si="17"/>
        <v>83.25</v>
      </c>
      <c r="D173" s="146">
        <f t="shared" si="13"/>
        <v>83.331481433041915</v>
      </c>
      <c r="E173" s="146">
        <f t="shared" si="14"/>
        <v>-8.1481433041915352E-2</v>
      </c>
      <c r="F173" s="147">
        <f t="shared" si="15"/>
        <v>-9.7779892593641282E-4</v>
      </c>
    </row>
    <row r="174" spans="2:6">
      <c r="B174" s="148">
        <v>171</v>
      </c>
      <c r="C174" s="11">
        <f t="shared" si="17"/>
        <v>83.474999999999994</v>
      </c>
      <c r="D174" s="146">
        <f t="shared" si="13"/>
        <v>83.539940923922757</v>
      </c>
      <c r="E174" s="146">
        <f t="shared" si="14"/>
        <v>-6.4940923922762295E-2</v>
      </c>
      <c r="F174" s="147">
        <f t="shared" si="15"/>
        <v>-7.7736377599191275E-4</v>
      </c>
    </row>
    <row r="175" spans="2:6">
      <c r="B175" s="148">
        <v>172</v>
      </c>
      <c r="C175" s="11">
        <f t="shared" si="17"/>
        <v>83.7</v>
      </c>
      <c r="D175" s="146">
        <f t="shared" si="13"/>
        <v>83.7488102959326</v>
      </c>
      <c r="E175" s="146">
        <f t="shared" si="14"/>
        <v>-4.8810295932597114E-2</v>
      </c>
      <c r="F175" s="147">
        <f t="shared" si="15"/>
        <v>-5.8281778284519081E-4</v>
      </c>
    </row>
    <row r="176" spans="2:6">
      <c r="B176" s="148">
        <v>173</v>
      </c>
      <c r="C176" s="11">
        <f t="shared" si="17"/>
        <v>83.924999999999997</v>
      </c>
      <c r="D176" s="146">
        <f t="shared" si="13"/>
        <v>83.958117510399831</v>
      </c>
      <c r="E176" s="146">
        <f t="shared" si="14"/>
        <v>-3.311751039983335E-2</v>
      </c>
      <c r="F176" s="147">
        <f t="shared" si="15"/>
        <v>-3.9445275075078445E-4</v>
      </c>
    </row>
    <row r="177" spans="2:6">
      <c r="B177" s="148">
        <v>174</v>
      </c>
      <c r="C177" s="11">
        <f t="shared" si="17"/>
        <v>84.15</v>
      </c>
      <c r="D177" s="146">
        <f t="shared" si="13"/>
        <v>84.167889389981724</v>
      </c>
      <c r="E177" s="146">
        <f t="shared" si="14"/>
        <v>-1.7889389981718296E-2</v>
      </c>
      <c r="F177" s="147">
        <f t="shared" si="15"/>
        <v>-2.125441199889444E-4</v>
      </c>
    </row>
    <row r="178" spans="2:6">
      <c r="B178" s="148">
        <v>175</v>
      </c>
      <c r="C178" s="11">
        <f t="shared" si="17"/>
        <v>84.375</v>
      </c>
      <c r="D178" s="146">
        <f t="shared" si="13"/>
        <v>84.378151578876341</v>
      </c>
      <c r="E178" s="146">
        <f t="shared" si="14"/>
        <v>-3.1515788763414321E-3</v>
      </c>
      <c r="F178" s="147">
        <f t="shared" si="15"/>
        <v>-3.7350650818557263E-5</v>
      </c>
    </row>
    <row r="179" spans="2:6">
      <c r="B179" s="148">
        <v>176</v>
      </c>
      <c r="C179" s="11">
        <f t="shared" si="17"/>
        <v>84.6</v>
      </c>
      <c r="D179" s="146">
        <f t="shared" si="13"/>
        <v>84.588928502705045</v>
      </c>
      <c r="E179" s="146">
        <f t="shared" si="14"/>
        <v>1.1071497294949495E-2</v>
      </c>
      <c r="F179" s="147">
        <f t="shared" si="15"/>
        <v>1.3088589122633998E-4</v>
      </c>
    </row>
    <row r="180" spans="2:6">
      <c r="B180" s="148">
        <v>177</v>
      </c>
      <c r="C180" s="11">
        <f t="shared" si="17"/>
        <v>84.825000000000003</v>
      </c>
      <c r="D180" s="146">
        <f t="shared" si="13"/>
        <v>84.800243328065136</v>
      </c>
      <c r="E180" s="146">
        <f t="shared" si="14"/>
        <v>2.4756671934866858E-2</v>
      </c>
      <c r="F180" s="147">
        <f t="shared" si="15"/>
        <v>2.9194104831864465E-4</v>
      </c>
    </row>
    <row r="181" spans="2:6">
      <c r="B181" s="148">
        <v>178</v>
      </c>
      <c r="C181" s="11">
        <f t="shared" si="17"/>
        <v>85.05</v>
      </c>
      <c r="D181" s="146">
        <f t="shared" si="13"/>
        <v>85.012117921752491</v>
      </c>
      <c r="E181" s="146">
        <f t="shared" si="14"/>
        <v>3.7882078247506001E-2</v>
      </c>
      <c r="F181" s="147">
        <f t="shared" si="15"/>
        <v>4.456079812336089E-4</v>
      </c>
    </row>
    <row r="182" spans="2:6">
      <c r="B182" s="148">
        <v>179</v>
      </c>
      <c r="C182" s="11">
        <f t="shared" si="17"/>
        <v>85.275000000000006</v>
      </c>
      <c r="D182" s="146">
        <f t="shared" si="13"/>
        <v>85.224572809654944</v>
      </c>
      <c r="E182" s="146">
        <f t="shared" si="14"/>
        <v>5.042719034506149E-2</v>
      </c>
      <c r="F182" s="147">
        <f t="shared" si="15"/>
        <v>5.9169777779577437E-4</v>
      </c>
    </row>
    <row r="183" spans="2:6">
      <c r="B183" s="145">
        <v>180</v>
      </c>
      <c r="C183" s="10">
        <v>85.5</v>
      </c>
      <c r="D183" s="146">
        <f t="shared" si="13"/>
        <v>85.437627135315424</v>
      </c>
      <c r="E183" s="146">
        <f t="shared" si="14"/>
        <v>6.2372864684576257E-2</v>
      </c>
      <c r="F183" s="147">
        <f t="shared" si="15"/>
        <v>7.3003975854568637E-4</v>
      </c>
    </row>
    <row r="184" spans="2:6">
      <c r="B184" s="148">
        <v>181</v>
      </c>
      <c r="C184" s="11">
        <f t="shared" ref="C184:C202" si="18">C$203-(B$203-B184)*((C$203-C$183)/(B$203-B$183))</f>
        <v>85.724999999999994</v>
      </c>
      <c r="D184" s="146">
        <f t="shared" si="13"/>
        <v>85.651298618165697</v>
      </c>
      <c r="E184" s="146">
        <f t="shared" si="14"/>
        <v>7.3701381834297308E-2</v>
      </c>
      <c r="F184" s="147">
        <f t="shared" si="15"/>
        <v>8.6048177929987091E-4</v>
      </c>
    </row>
    <row r="185" spans="2:6">
      <c r="B185" s="148">
        <v>182</v>
      </c>
      <c r="C185" s="11">
        <f t="shared" si="18"/>
        <v>85.95</v>
      </c>
      <c r="D185" s="146">
        <f t="shared" si="13"/>
        <v>85.865603511430095</v>
      </c>
      <c r="E185" s="146">
        <f t="shared" si="14"/>
        <v>8.4396488569908001E-2</v>
      </c>
      <c r="F185" s="147">
        <f t="shared" si="15"/>
        <v>9.8289053030042872E-4</v>
      </c>
    </row>
    <row r="186" spans="2:6">
      <c r="B186" s="148">
        <v>183</v>
      </c>
      <c r="C186" s="11">
        <f t="shared" si="18"/>
        <v>86.174999999999997</v>
      </c>
      <c r="D186" s="146">
        <f t="shared" si="13"/>
        <v>86.080556559699829</v>
      </c>
      <c r="E186" s="146">
        <f t="shared" si="14"/>
        <v>9.4443440300167936E-2</v>
      </c>
      <c r="F186" s="147">
        <f t="shared" si="15"/>
        <v>1.0971518316644779E-3</v>
      </c>
    </row>
    <row r="187" spans="2:6">
      <c r="B187" s="148">
        <v>184</v>
      </c>
      <c r="C187" s="11">
        <f t="shared" si="18"/>
        <v>86.4</v>
      </c>
      <c r="D187" s="146">
        <f t="shared" si="13"/>
        <v>86.296170956177008</v>
      </c>
      <c r="E187" s="146">
        <f t="shared" si="14"/>
        <v>0.10382904382299785</v>
      </c>
      <c r="F187" s="147">
        <f t="shared" si="15"/>
        <v>1.2031709248805367E-3</v>
      </c>
    </row>
    <row r="188" spans="2:6">
      <c r="B188" s="148">
        <v>185</v>
      </c>
      <c r="C188" s="11">
        <f t="shared" si="18"/>
        <v>86.625</v>
      </c>
      <c r="D188" s="146">
        <f t="shared" si="13"/>
        <v>86.512458299589582</v>
      </c>
      <c r="E188" s="146">
        <f t="shared" si="14"/>
        <v>0.11254170041041789</v>
      </c>
      <c r="F188" s="147">
        <f t="shared" si="15"/>
        <v>1.3008727600907211E-3</v>
      </c>
    </row>
    <row r="189" spans="2:6">
      <c r="B189" s="148">
        <v>186</v>
      </c>
      <c r="C189" s="11">
        <f t="shared" si="18"/>
        <v>86.85</v>
      </c>
      <c r="D189" s="146">
        <f t="shared" si="13"/>
        <v>86.729428550775893</v>
      </c>
      <c r="E189" s="146">
        <f t="shared" si="14"/>
        <v>0.12057144922410146</v>
      </c>
      <c r="F189" s="147">
        <f t="shared" si="15"/>
        <v>1.3902022789589186E-3</v>
      </c>
    </row>
    <row r="190" spans="2:6">
      <c r="B190" s="148">
        <v>187</v>
      </c>
      <c r="C190" s="11">
        <f t="shared" si="18"/>
        <v>87.075000000000003</v>
      </c>
      <c r="D190" s="146">
        <f t="shared" si="13"/>
        <v>86.947089988940007</v>
      </c>
      <c r="E190" s="146">
        <f t="shared" si="14"/>
        <v>0.12791001105999555</v>
      </c>
      <c r="F190" s="147">
        <f t="shared" si="15"/>
        <v>1.4711246929168809E-3</v>
      </c>
    </row>
    <row r="191" spans="2:6">
      <c r="B191" s="148">
        <v>188</v>
      </c>
      <c r="C191" s="11">
        <f t="shared" si="18"/>
        <v>87.3</v>
      </c>
      <c r="D191" s="146">
        <f t="shared" si="13"/>
        <v>87.165449167576838</v>
      </c>
      <c r="E191" s="146">
        <f t="shared" si="14"/>
        <v>0.13455083242315879</v>
      </c>
      <c r="F191" s="147">
        <f t="shared" si="15"/>
        <v>1.543625756628364E-3</v>
      </c>
    </row>
    <row r="192" spans="2:6">
      <c r="B192" s="148">
        <v>189</v>
      </c>
      <c r="C192" s="11">
        <f t="shared" si="18"/>
        <v>87.525000000000006</v>
      </c>
      <c r="D192" s="146">
        <f t="shared" si="13"/>
        <v>87.38451087006797</v>
      </c>
      <c r="E192" s="146">
        <f t="shared" si="14"/>
        <v>0.14048912993203544</v>
      </c>
      <c r="F192" s="147">
        <f t="shared" si="15"/>
        <v>1.6077120365294295E-3</v>
      </c>
    </row>
    <row r="193" spans="2:6">
      <c r="B193" s="148">
        <v>190</v>
      </c>
      <c r="C193" s="11">
        <f t="shared" si="18"/>
        <v>87.75</v>
      </c>
      <c r="D193" s="146">
        <f t="shared" si="13"/>
        <v>87.604278064947266</v>
      </c>
      <c r="E193" s="146">
        <f t="shared" si="14"/>
        <v>0.1457219350527339</v>
      </c>
      <c r="F193" s="147">
        <f t="shared" si="15"/>
        <v>1.6634111743343283E-3</v>
      </c>
    </row>
    <row r="194" spans="2:6">
      <c r="B194" s="148">
        <v>191</v>
      </c>
      <c r="C194" s="11">
        <f t="shared" si="18"/>
        <v>87.974999999999994</v>
      </c>
      <c r="D194" s="146">
        <f t="shared" si="13"/>
        <v>87.824751860837097</v>
      </c>
      <c r="E194" s="146">
        <f t="shared" si="14"/>
        <v>0.15024813916289759</v>
      </c>
      <c r="F194" s="147">
        <f t="shared" si="15"/>
        <v>1.7107721454308056E-3</v>
      </c>
    </row>
    <row r="195" spans="2:6">
      <c r="B195" s="148">
        <v>192</v>
      </c>
      <c r="C195" s="11">
        <f t="shared" si="18"/>
        <v>88.2</v>
      </c>
      <c r="D195" s="146">
        <f t="shared" si="13"/>
        <v>88.045931461054636</v>
      </c>
      <c r="E195" s="146">
        <f t="shared" si="14"/>
        <v>0.1540685389453671</v>
      </c>
      <c r="F195" s="147">
        <f t="shared" si="15"/>
        <v>1.7498655121106488E-3</v>
      </c>
    </row>
    <row r="196" spans="2:6">
      <c r="B196" s="148">
        <v>193</v>
      </c>
      <c r="C196" s="11">
        <f t="shared" si="18"/>
        <v>88.424999999999997</v>
      </c>
      <c r="D196" s="146">
        <f t="shared" ref="D196:D259" si="19">IF(B196&lt;5,0,IF(B196&lt;30,($N$15*B196^6)+($N$16*B196^5)+($N$17*B196^4)+($N$18*B196^3)+($N$19*B196^2)+($N$20*B196)+$N$21,IF(B196&lt;250,($N$6*B196^6)+($N$7*B196^5)+($N$8*B196^4)+($N$9*B196^3)+($N$10*B196^2)+($N$11*B196)+$N$12,IF(B196&lt;1000,(2.363443+6.066492*B196/100-2.085061*(B196/100)^2+0.4751229*(B196/100)^3-0.05086087*(B196/100)^4+0.001382764*(B196/100)^5+0.0001469133*(B196/100)^6-0.000008531221*(B196/100)^7)*10,IF(B196&lt;9000,(0.8759882+1.259865*(B196/1000)-0.02582505*(B196/1000)^2+0.0008687869*(B196/1000)^3-0.0000101455*(B196/1000)^4)*100,(0.095*B196)+205)))))</f>
        <v>88.267814117888463</v>
      </c>
      <c r="E196" s="146">
        <f t="shared" si="14"/>
        <v>0.15718588211153417</v>
      </c>
      <c r="F196" s="147">
        <f t="shared" si="15"/>
        <v>1.7807836716292602E-3</v>
      </c>
    </row>
    <row r="197" spans="2:6">
      <c r="B197" s="148">
        <v>194</v>
      </c>
      <c r="C197" s="11">
        <f t="shared" si="18"/>
        <v>88.65</v>
      </c>
      <c r="D197" s="146">
        <f t="shared" si="19"/>
        <v>88.490395086545306</v>
      </c>
      <c r="E197" s="146">
        <f t="shared" si="14"/>
        <v>0.15960491345470018</v>
      </c>
      <c r="F197" s="147">
        <f t="shared" si="15"/>
        <v>1.8036410991113527E-3</v>
      </c>
    </row>
    <row r="198" spans="2:6">
      <c r="B198" s="148">
        <v>195</v>
      </c>
      <c r="C198" s="11">
        <f t="shared" si="18"/>
        <v>88.875</v>
      </c>
      <c r="D198" s="146">
        <f t="shared" si="19"/>
        <v>88.713667578767257</v>
      </c>
      <c r="E198" s="146">
        <f t="shared" si="14"/>
        <v>0.16133242123274272</v>
      </c>
      <c r="F198" s="147">
        <f t="shared" si="15"/>
        <v>1.8185745853591673E-3</v>
      </c>
    </row>
    <row r="199" spans="2:6">
      <c r="B199" s="148">
        <v>196</v>
      </c>
      <c r="C199" s="11">
        <f t="shared" si="18"/>
        <v>89.1</v>
      </c>
      <c r="D199" s="146">
        <f t="shared" si="19"/>
        <v>88.937622716118995</v>
      </c>
      <c r="E199" s="146">
        <f t="shared" si="14"/>
        <v>0.16237728388099981</v>
      </c>
      <c r="F199" s="147">
        <f t="shared" si="15"/>
        <v>1.8257434696595798E-3</v>
      </c>
    </row>
    <row r="200" spans="2:6">
      <c r="B200" s="148">
        <v>197</v>
      </c>
      <c r="C200" s="11">
        <f t="shared" si="18"/>
        <v>89.325000000000003</v>
      </c>
      <c r="D200" s="146">
        <f t="shared" si="19"/>
        <v>89.162249482945427</v>
      </c>
      <c r="E200" s="146">
        <f t="shared" ref="E200:E263" si="20">C200-D200</f>
        <v>0.16275051705457599</v>
      </c>
      <c r="F200" s="147">
        <f t="shared" ref="F200:F263" si="21">C200/D200-1</f>
        <v>1.8253298677228802E-3</v>
      </c>
    </row>
    <row r="201" spans="2:6">
      <c r="B201" s="148">
        <v>198</v>
      </c>
      <c r="C201" s="11">
        <f t="shared" si="18"/>
        <v>89.55</v>
      </c>
      <c r="D201" s="146">
        <f t="shared" si="19"/>
        <v>89.387534678999472</v>
      </c>
      <c r="E201" s="146">
        <f t="shared" si="20"/>
        <v>0.16246532100052491</v>
      </c>
      <c r="F201" s="147">
        <f t="shared" si="21"/>
        <v>1.8175388949248639E-3</v>
      </c>
    </row>
    <row r="202" spans="2:6">
      <c r="B202" s="148">
        <v>199</v>
      </c>
      <c r="C202" s="11">
        <f t="shared" si="18"/>
        <v>89.775000000000006</v>
      </c>
      <c r="D202" s="146">
        <f t="shared" si="19"/>
        <v>89.613462871740126</v>
      </c>
      <c r="E202" s="146">
        <f t="shared" si="20"/>
        <v>0.16153712825988009</v>
      </c>
      <c r="F202" s="147">
        <f t="shared" si="21"/>
        <v>1.8025988850702834E-3</v>
      </c>
    </row>
    <row r="203" spans="2:6">
      <c r="B203" s="145">
        <v>200</v>
      </c>
      <c r="C203" s="10">
        <v>90</v>
      </c>
      <c r="D203" s="146">
        <f t="shared" si="19"/>
        <v>89.840016348300765</v>
      </c>
      <c r="E203" s="146">
        <f t="shared" si="20"/>
        <v>0.15998365169923545</v>
      </c>
      <c r="F203" s="147">
        <f t="shared" si="21"/>
        <v>1.7807616049287933E-3</v>
      </c>
    </row>
    <row r="204" spans="2:6">
      <c r="B204" s="148">
        <v>201</v>
      </c>
      <c r="C204" s="11">
        <f t="shared" ref="C204:C227" si="22">C$228-(B$228-B204)*((C$228-C$203)/(B$228-B$203))</f>
        <v>90.22</v>
      </c>
      <c r="D204" s="146">
        <f t="shared" si="19"/>
        <v>90.067175067127863</v>
      </c>
      <c r="E204" s="146">
        <f t="shared" si="20"/>
        <v>0.15282493287213583</v>
      </c>
      <c r="F204" s="147">
        <f t="shared" si="21"/>
        <v>1.6967883444576337E-3</v>
      </c>
    </row>
    <row r="205" spans="2:6">
      <c r="B205" s="148">
        <v>202</v>
      </c>
      <c r="C205" s="11">
        <f t="shared" si="22"/>
        <v>90.44</v>
      </c>
      <c r="D205" s="146">
        <f t="shared" si="19"/>
        <v>90.294916609289629</v>
      </c>
      <c r="E205" s="146">
        <f t="shared" si="20"/>
        <v>0.14508339071036858</v>
      </c>
      <c r="F205" s="147">
        <f t="shared" si="21"/>
        <v>1.6067725200761274E-3</v>
      </c>
    </row>
    <row r="206" spans="2:6">
      <c r="B206" s="148">
        <v>203</v>
      </c>
      <c r="C206" s="11">
        <f t="shared" si="22"/>
        <v>90.66</v>
      </c>
      <c r="D206" s="146">
        <f t="shared" si="19"/>
        <v>90.523216129455136</v>
      </c>
      <c r="E206" s="146">
        <f t="shared" si="20"/>
        <v>0.13678387054486052</v>
      </c>
      <c r="F206" s="147">
        <f t="shared" si="21"/>
        <v>1.5110363550190353E-3</v>
      </c>
    </row>
    <row r="207" spans="2:6">
      <c r="B207" s="148">
        <v>204</v>
      </c>
      <c r="C207" s="11">
        <f t="shared" si="22"/>
        <v>90.88</v>
      </c>
      <c r="D207" s="146">
        <f t="shared" si="19"/>
        <v>90.752046306543633</v>
      </c>
      <c r="E207" s="146">
        <f t="shared" si="20"/>
        <v>0.12795369345636232</v>
      </c>
      <c r="F207" s="147">
        <f t="shared" si="21"/>
        <v>1.4099262624245323E-3</v>
      </c>
    </row>
    <row r="208" spans="2:6">
      <c r="B208" s="148">
        <v>205</v>
      </c>
      <c r="C208" s="11">
        <f t="shared" si="22"/>
        <v>91.1</v>
      </c>
      <c r="D208" s="146">
        <f t="shared" si="19"/>
        <v>90.981377294044137</v>
      </c>
      <c r="E208" s="146">
        <f t="shared" si="20"/>
        <v>0.11862270595585755</v>
      </c>
      <c r="F208" s="147">
        <f t="shared" si="21"/>
        <v>1.3038130382714286E-3</v>
      </c>
    </row>
    <row r="209" spans="2:6">
      <c r="B209" s="148">
        <v>206</v>
      </c>
      <c r="C209" s="11">
        <f t="shared" si="22"/>
        <v>91.32</v>
      </c>
      <c r="D209" s="146">
        <f t="shared" si="19"/>
        <v>91.211176670005187</v>
      </c>
      <c r="E209" s="146">
        <f t="shared" si="20"/>
        <v>0.10882332999480582</v>
      </c>
      <c r="F209" s="147">
        <f t="shared" si="21"/>
        <v>1.193092052616862E-3</v>
      </c>
    </row>
    <row r="210" spans="2:6">
      <c r="B210" s="148">
        <v>207</v>
      </c>
      <c r="C210" s="11">
        <f t="shared" si="22"/>
        <v>91.54</v>
      </c>
      <c r="D210" s="146">
        <f t="shared" si="19"/>
        <v>91.441409386695057</v>
      </c>
      <c r="E210" s="146">
        <f t="shared" si="20"/>
        <v>9.859061330494967E-2</v>
      </c>
      <c r="F210" s="147">
        <f t="shared" si="21"/>
        <v>1.078183439715108E-3</v>
      </c>
    </row>
    <row r="211" spans="2:6">
      <c r="B211" s="148">
        <v>208</v>
      </c>
      <c r="C211" s="11">
        <f t="shared" si="22"/>
        <v>91.76</v>
      </c>
      <c r="D211" s="146">
        <f t="shared" si="19"/>
        <v>91.672037719931723</v>
      </c>
      <c r="E211" s="146">
        <f t="shared" si="20"/>
        <v>8.7962280068282439E-2</v>
      </c>
      <c r="F211" s="147">
        <f t="shared" si="21"/>
        <v>9.5953228766454401E-4</v>
      </c>
    </row>
    <row r="212" spans="2:6">
      <c r="B212" s="148">
        <v>209</v>
      </c>
      <c r="C212" s="11">
        <f t="shared" si="22"/>
        <v>91.98</v>
      </c>
      <c r="D212" s="146">
        <f t="shared" si="19"/>
        <v>91.903021218083865</v>
      </c>
      <c r="E212" s="146">
        <f t="shared" si="20"/>
        <v>7.6978781916139383E-2</v>
      </c>
      <c r="F212" s="147">
        <f t="shared" si="21"/>
        <v>8.3760882826111605E-4</v>
      </c>
    </row>
    <row r="213" spans="2:6">
      <c r="B213" s="148">
        <v>210</v>
      </c>
      <c r="C213" s="11">
        <f t="shared" si="22"/>
        <v>92.2</v>
      </c>
      <c r="D213" s="146">
        <f t="shared" si="19"/>
        <v>92.13431665074134</v>
      </c>
      <c r="E213" s="146">
        <f t="shared" si="20"/>
        <v>6.5683349258662815E-2</v>
      </c>
      <c r="F213" s="147">
        <f t="shared" si="21"/>
        <v>7.1290862782058539E-4</v>
      </c>
    </row>
    <row r="214" spans="2:6">
      <c r="B214" s="148">
        <v>211</v>
      </c>
      <c r="C214" s="11">
        <f t="shared" si="22"/>
        <v>92.42</v>
      </c>
      <c r="D214" s="146">
        <f t="shared" si="19"/>
        <v>92.365877957056341</v>
      </c>
      <c r="E214" s="146">
        <f t="shared" si="20"/>
        <v>5.4122042943660631E-2</v>
      </c>
      <c r="F214" s="147">
        <f t="shared" si="21"/>
        <v>5.8595277975737048E-4</v>
      </c>
    </row>
    <row r="215" spans="2:6">
      <c r="B215" s="148">
        <v>212</v>
      </c>
      <c r="C215" s="11">
        <f t="shared" si="22"/>
        <v>92.64</v>
      </c>
      <c r="D215" s="146">
        <f t="shared" si="19"/>
        <v>92.597656193754631</v>
      </c>
      <c r="E215" s="146">
        <f t="shared" si="20"/>
        <v>4.2343806245369819E-2</v>
      </c>
      <c r="F215" s="147">
        <f t="shared" si="21"/>
        <v>4.5728809978484719E-4</v>
      </c>
    </row>
    <row r="216" spans="2:6">
      <c r="B216" s="148">
        <v>213</v>
      </c>
      <c r="C216" s="11">
        <f t="shared" si="22"/>
        <v>92.86</v>
      </c>
      <c r="D216" s="146">
        <f t="shared" si="19"/>
        <v>92.8295994828174</v>
      </c>
      <c r="E216" s="146">
        <f t="shared" si="20"/>
        <v>3.0400517182599174E-2</v>
      </c>
      <c r="F216" s="147">
        <f t="shared" si="21"/>
        <v>3.2748732464615848E-4</v>
      </c>
    </row>
    <row r="217" spans="2:6">
      <c r="B217" s="148">
        <v>214</v>
      </c>
      <c r="C217" s="11">
        <f t="shared" si="22"/>
        <v>93.08</v>
      </c>
      <c r="D217" s="146">
        <f t="shared" si="19"/>
        <v>93.061652958832525</v>
      </c>
      <c r="E217" s="146">
        <f t="shared" si="20"/>
        <v>1.8347041167473321E-2</v>
      </c>
      <c r="F217" s="147">
        <f t="shared" si="21"/>
        <v>1.9714931536407576E-4</v>
      </c>
    </row>
    <row r="218" spans="2:6">
      <c r="B218" s="148">
        <v>215</v>
      </c>
      <c r="C218" s="11">
        <f t="shared" si="22"/>
        <v>93.3</v>
      </c>
      <c r="D218" s="146">
        <f t="shared" si="19"/>
        <v>93.293758716017066</v>
      </c>
      <c r="E218" s="146">
        <f t="shared" si="20"/>
        <v>6.2412839829306677E-3</v>
      </c>
      <c r="F218" s="147">
        <f t="shared" si="21"/>
        <v>6.6899266026210213E-5</v>
      </c>
    </row>
    <row r="219" spans="2:6">
      <c r="B219" s="148">
        <v>216</v>
      </c>
      <c r="C219" s="11">
        <f t="shared" si="22"/>
        <v>93.52</v>
      </c>
      <c r="D219" s="146">
        <f t="shared" si="19"/>
        <v>93.525855754909458</v>
      </c>
      <c r="E219" s="146">
        <f t="shared" si="20"/>
        <v>-5.8557549094615524E-3</v>
      </c>
      <c r="F219" s="147">
        <f t="shared" si="21"/>
        <v>-6.2611080777541517E-5</v>
      </c>
    </row>
    <row r="220" spans="2:6">
      <c r="B220" s="148">
        <v>217</v>
      </c>
      <c r="C220" s="11">
        <f t="shared" si="22"/>
        <v>93.74</v>
      </c>
      <c r="D220" s="146">
        <f t="shared" si="19"/>
        <v>93.757879928731853</v>
      </c>
      <c r="E220" s="146">
        <f t="shared" si="20"/>
        <v>-1.7879928731858286E-2</v>
      </c>
      <c r="F220" s="147">
        <f t="shared" si="21"/>
        <v>-1.9070321071090746E-4</v>
      </c>
    </row>
    <row r="221" spans="2:6">
      <c r="B221" s="148">
        <v>218</v>
      </c>
      <c r="C221" s="11">
        <f t="shared" si="22"/>
        <v>93.96</v>
      </c>
      <c r="D221" s="146">
        <f t="shared" si="19"/>
        <v>93.989763889423131</v>
      </c>
      <c r="E221" s="146">
        <f t="shared" si="20"/>
        <v>-2.9763889423136902E-2</v>
      </c>
      <c r="F221" s="147">
        <f t="shared" si="21"/>
        <v>-3.1667160541182238E-4</v>
      </c>
    </row>
    <row r="222" spans="2:6">
      <c r="B222" s="148">
        <v>219</v>
      </c>
      <c r="C222" s="11">
        <f t="shared" si="22"/>
        <v>94.18</v>
      </c>
      <c r="D222" s="146">
        <f t="shared" si="19"/>
        <v>94.221437033341942</v>
      </c>
      <c r="E222" s="146">
        <f t="shared" si="20"/>
        <v>-4.1437033341935603E-2</v>
      </c>
      <c r="F222" s="147">
        <f t="shared" si="21"/>
        <v>-4.3978349987672249E-4</v>
      </c>
    </row>
    <row r="223" spans="2:6">
      <c r="B223" s="148">
        <v>220</v>
      </c>
      <c r="C223" s="11">
        <f t="shared" si="22"/>
        <v>94.4</v>
      </c>
      <c r="D223" s="146">
        <f t="shared" si="19"/>
        <v>94.452825446639793</v>
      </c>
      <c r="E223" s="146">
        <f t="shared" si="20"/>
        <v>-5.2825446639786833E-2</v>
      </c>
      <c r="F223" s="147">
        <f t="shared" si="21"/>
        <v>-5.5927862814042495E-4</v>
      </c>
    </row>
    <row r="224" spans="2:6">
      <c r="B224" s="148">
        <v>221</v>
      </c>
      <c r="C224" s="11">
        <f t="shared" si="22"/>
        <v>94.62</v>
      </c>
      <c r="D224" s="146">
        <f t="shared" si="19"/>
        <v>94.683851850304762</v>
      </c>
      <c r="E224" s="146">
        <f t="shared" si="20"/>
        <v>-6.3851850304757818E-2</v>
      </c>
      <c r="F224" s="147">
        <f t="shared" si="21"/>
        <v>-6.7436895581418632E-4</v>
      </c>
    </row>
    <row r="225" spans="2:6">
      <c r="B225" s="148">
        <v>222</v>
      </c>
      <c r="C225" s="11">
        <f t="shared" si="22"/>
        <v>94.84</v>
      </c>
      <c r="D225" s="146">
        <f t="shared" si="19"/>
        <v>94.914435544875317</v>
      </c>
      <c r="E225" s="146">
        <f t="shared" si="20"/>
        <v>-7.4435544875314008E-2</v>
      </c>
      <c r="F225" s="147">
        <f t="shared" si="21"/>
        <v>-7.8423839796337713E-4</v>
      </c>
    </row>
    <row r="226" spans="2:6">
      <c r="B226" s="148">
        <v>223</v>
      </c>
      <c r="C226" s="11">
        <f t="shared" si="22"/>
        <v>95.06</v>
      </c>
      <c r="D226" s="146">
        <f t="shared" si="19"/>
        <v>95.144492354824052</v>
      </c>
      <c r="E226" s="146">
        <f t="shared" si="20"/>
        <v>-8.4492354824050153E-2</v>
      </c>
      <c r="F226" s="147">
        <f t="shared" si="21"/>
        <v>-8.8804252072682832E-4</v>
      </c>
    </row>
    <row r="227" spans="2:6">
      <c r="B227" s="148">
        <v>224</v>
      </c>
      <c r="C227" s="11">
        <f t="shared" si="22"/>
        <v>95.28</v>
      </c>
      <c r="D227" s="146">
        <f t="shared" si="19"/>
        <v>95.373934572612399</v>
      </c>
      <c r="E227" s="146">
        <f t="shared" si="20"/>
        <v>-9.393457261239746E-2</v>
      </c>
      <c r="F227" s="147">
        <f t="shared" si="21"/>
        <v>-9.8490822501273723E-4</v>
      </c>
    </row>
    <row r="228" spans="2:6">
      <c r="B228" s="145">
        <v>225</v>
      </c>
      <c r="C228" s="10">
        <v>95.5</v>
      </c>
      <c r="D228" s="146">
        <f t="shared" si="19"/>
        <v>95.602670902414815</v>
      </c>
      <c r="E228" s="146">
        <f t="shared" si="20"/>
        <v>-0.10267090241481469</v>
      </c>
      <c r="F228" s="147">
        <f t="shared" si="21"/>
        <v>-1.0739334104965526E-3</v>
      </c>
    </row>
    <row r="229" spans="2:6">
      <c r="B229" s="148">
        <v>226</v>
      </c>
      <c r="C229" s="11">
        <f t="shared" ref="C229:C252" si="23">C$253-(B$253-B229)*((C$253-C$228)/(B$253-B$228))</f>
        <v>95.72</v>
      </c>
      <c r="D229" s="146">
        <f t="shared" si="19"/>
        <v>95.830606403513713</v>
      </c>
      <c r="E229" s="146">
        <f t="shared" si="20"/>
        <v>-0.11060640351371376</v>
      </c>
      <c r="F229" s="147">
        <f t="shared" si="21"/>
        <v>-1.1541866180829752E-3</v>
      </c>
    </row>
    <row r="230" spans="2:6">
      <c r="B230" s="148">
        <v>227</v>
      </c>
      <c r="C230" s="11">
        <f t="shared" si="23"/>
        <v>95.94</v>
      </c>
      <c r="D230" s="146">
        <f t="shared" si="19"/>
        <v>96.057642433364492</v>
      </c>
      <c r="E230" s="146">
        <f t="shared" si="20"/>
        <v>-0.11764243336449454</v>
      </c>
      <c r="F230" s="147">
        <f t="shared" si="21"/>
        <v>-1.2247066488864089E-3</v>
      </c>
    </row>
    <row r="231" spans="2:6">
      <c r="B231" s="148">
        <v>228</v>
      </c>
      <c r="C231" s="11">
        <f t="shared" si="23"/>
        <v>96.16</v>
      </c>
      <c r="D231" s="146">
        <f t="shared" si="19"/>
        <v>96.283676590330629</v>
      </c>
      <c r="E231" s="146">
        <f t="shared" si="20"/>
        <v>-0.12367659033063205</v>
      </c>
      <c r="F231" s="147">
        <f t="shared" si="21"/>
        <v>-1.2845021576902704E-3</v>
      </c>
    </row>
    <row r="232" spans="2:6">
      <c r="B232" s="148">
        <v>229</v>
      </c>
      <c r="C232" s="11">
        <f t="shared" si="23"/>
        <v>96.38</v>
      </c>
      <c r="D232" s="146">
        <f t="shared" si="19"/>
        <v>96.508602656089579</v>
      </c>
      <c r="E232" s="146">
        <f t="shared" si="20"/>
        <v>-0.12860265608958343</v>
      </c>
      <c r="F232" s="147">
        <f t="shared" si="21"/>
        <v>-1.3325512187536415E-3</v>
      </c>
    </row>
    <row r="233" spans="2:6">
      <c r="B233" s="148">
        <v>230</v>
      </c>
      <c r="C233" s="11">
        <f t="shared" si="23"/>
        <v>96.6</v>
      </c>
      <c r="D233" s="146">
        <f t="shared" si="19"/>
        <v>96.732310537708116</v>
      </c>
      <c r="E233" s="146">
        <f t="shared" si="20"/>
        <v>-0.13231053770812196</v>
      </c>
      <c r="F233" s="147">
        <f t="shared" si="21"/>
        <v>-1.3678008617042936E-3</v>
      </c>
    </row>
    <row r="234" spans="2:6">
      <c r="B234" s="148">
        <v>231</v>
      </c>
      <c r="C234" s="11">
        <f t="shared" si="23"/>
        <v>96.82</v>
      </c>
      <c r="D234" s="146">
        <f t="shared" si="19"/>
        <v>96.954686209388626</v>
      </c>
      <c r="E234" s="146">
        <f t="shared" si="20"/>
        <v>-0.13468620938863296</v>
      </c>
      <c r="F234" s="147">
        <f t="shared" si="21"/>
        <v>-1.3891665751747384E-3</v>
      </c>
    </row>
    <row r="235" spans="2:6">
      <c r="B235" s="148">
        <v>232</v>
      </c>
      <c r="C235" s="11">
        <f t="shared" si="23"/>
        <v>97.04</v>
      </c>
      <c r="D235" s="146">
        <f t="shared" si="19"/>
        <v>97.175611653885312</v>
      </c>
      <c r="E235" s="146">
        <f t="shared" si="20"/>
        <v>-0.13561165388530583</v>
      </c>
      <c r="F235" s="147">
        <f t="shared" si="21"/>
        <v>-1.3955317756920715E-3</v>
      </c>
    </row>
    <row r="236" spans="2:6">
      <c r="B236" s="148">
        <v>233</v>
      </c>
      <c r="C236" s="11">
        <f t="shared" si="23"/>
        <v>97.26</v>
      </c>
      <c r="D236" s="146">
        <f t="shared" si="19"/>
        <v>97.394964803590653</v>
      </c>
      <c r="E236" s="146">
        <f t="shared" si="20"/>
        <v>-0.13496480359064833</v>
      </c>
      <c r="F236" s="147">
        <f t="shared" si="21"/>
        <v>-1.3857472392214687E-3</v>
      </c>
    </row>
    <row r="237" spans="2:6">
      <c r="B237" s="148">
        <v>234</v>
      </c>
      <c r="C237" s="11">
        <f t="shared" si="23"/>
        <v>97.48</v>
      </c>
      <c r="D237" s="146">
        <f t="shared" si="19"/>
        <v>97.612619481292285</v>
      </c>
      <c r="E237" s="146">
        <f t="shared" si="20"/>
        <v>-0.13261948129228074</v>
      </c>
      <c r="F237" s="147">
        <f t="shared" si="21"/>
        <v>-1.3586304926249682E-3</v>
      </c>
    </row>
    <row r="238" spans="2:6">
      <c r="B238" s="148">
        <v>235</v>
      </c>
      <c r="C238" s="11">
        <f t="shared" si="23"/>
        <v>97.7</v>
      </c>
      <c r="D238" s="146">
        <f t="shared" si="19"/>
        <v>97.828445340599814</v>
      </c>
      <c r="E238" s="146">
        <f t="shared" si="20"/>
        <v>-0.12844534059981072</v>
      </c>
      <c r="F238" s="147">
        <f t="shared" si="21"/>
        <v>-1.312965162153179E-3</v>
      </c>
    </row>
    <row r="239" spans="2:6">
      <c r="B239" s="148">
        <v>236</v>
      </c>
      <c r="C239" s="11">
        <f t="shared" si="23"/>
        <v>97.92</v>
      </c>
      <c r="D239" s="146">
        <f t="shared" si="19"/>
        <v>98.042307806042345</v>
      </c>
      <c r="E239" s="146">
        <f t="shared" si="20"/>
        <v>-0.12230780604234326</v>
      </c>
      <c r="F239" s="147">
        <f t="shared" si="21"/>
        <v>-1.2475002759452236E-3</v>
      </c>
    </row>
    <row r="240" spans="2:6">
      <c r="B240" s="148">
        <v>237</v>
      </c>
      <c r="C240" s="11">
        <f t="shared" si="23"/>
        <v>98.14</v>
      </c>
      <c r="D240" s="146">
        <f t="shared" si="19"/>
        <v>98.254068012835774</v>
      </c>
      <c r="E240" s="146">
        <f t="shared" si="20"/>
        <v>-0.11406801283577295</v>
      </c>
      <c r="F240" s="147">
        <f t="shared" si="21"/>
        <v>-1.1609495173356965E-3</v>
      </c>
    </row>
    <row r="241" spans="2:6">
      <c r="B241" s="148">
        <v>238</v>
      </c>
      <c r="C241" s="11">
        <f t="shared" si="23"/>
        <v>98.36</v>
      </c>
      <c r="D241" s="146">
        <f t="shared" si="19"/>
        <v>98.463582746320611</v>
      </c>
      <c r="E241" s="146">
        <f t="shared" si="20"/>
        <v>-0.10358274632061182</v>
      </c>
      <c r="F241" s="147">
        <f t="shared" si="21"/>
        <v>-1.0519904256123258E-3</v>
      </c>
    </row>
    <row r="242" spans="2:6">
      <c r="B242" s="148">
        <v>239</v>
      </c>
      <c r="C242" s="11">
        <f t="shared" si="23"/>
        <v>98.58</v>
      </c>
      <c r="D242" s="146">
        <f t="shared" si="19"/>
        <v>98.67070438107001</v>
      </c>
      <c r="E242" s="146">
        <f t="shared" si="20"/>
        <v>-9.0704381070011664E-2</v>
      </c>
      <c r="F242" s="147">
        <f t="shared" si="21"/>
        <v>-9.192635406727323E-4</v>
      </c>
    </row>
    <row r="243" spans="2:6">
      <c r="B243" s="148">
        <v>240</v>
      </c>
      <c r="C243" s="11">
        <f t="shared" si="23"/>
        <v>98.8</v>
      </c>
      <c r="D243" s="146">
        <f t="shared" si="19"/>
        <v>98.875280819668092</v>
      </c>
      <c r="E243" s="146">
        <f t="shared" si="20"/>
        <v>-7.5280819668094523E-2</v>
      </c>
      <c r="F243" s="147">
        <f t="shared" si="21"/>
        <v>-7.6137148783828046E-4</v>
      </c>
    </row>
    <row r="244" spans="2:6">
      <c r="B244" s="148">
        <v>241</v>
      </c>
      <c r="C244" s="11">
        <f t="shared" si="23"/>
        <v>99.02</v>
      </c>
      <c r="D244" s="146">
        <f t="shared" si="19"/>
        <v>99.077155431158218</v>
      </c>
      <c r="E244" s="146">
        <f t="shared" si="20"/>
        <v>-5.7155431158221859E-2</v>
      </c>
      <c r="F244" s="147">
        <f t="shared" si="21"/>
        <v>-5.7687799886352309E-4</v>
      </c>
    </row>
    <row r="245" spans="2:6">
      <c r="B245" s="148">
        <v>242</v>
      </c>
      <c r="C245" s="11">
        <f t="shared" si="23"/>
        <v>99.24</v>
      </c>
      <c r="D245" s="146">
        <f t="shared" si="19"/>
        <v>99.276166989161908</v>
      </c>
      <c r="E245" s="146">
        <f t="shared" si="20"/>
        <v>-3.6166989161912966E-2</v>
      </c>
      <c r="F245" s="147">
        <f t="shared" si="21"/>
        <v>-3.6430686496846665E-4</v>
      </c>
    </row>
    <row r="246" spans="2:6">
      <c r="B246" s="148">
        <v>243</v>
      </c>
      <c r="C246" s="11">
        <f t="shared" si="23"/>
        <v>99.46</v>
      </c>
      <c r="D246" s="146">
        <f t="shared" si="19"/>
        <v>99.47214960966798</v>
      </c>
      <c r="E246" s="146">
        <f t="shared" si="20"/>
        <v>-1.2149609667986283E-2</v>
      </c>
      <c r="F246" s="147">
        <f t="shared" si="21"/>
        <v>-1.2214081746153571E-4</v>
      </c>
    </row>
    <row r="247" spans="2:6">
      <c r="B247" s="148">
        <v>244</v>
      </c>
      <c r="C247" s="11">
        <f t="shared" si="23"/>
        <v>99.68</v>
      </c>
      <c r="D247" s="146">
        <f t="shared" si="19"/>
        <v>99.664932688491461</v>
      </c>
      <c r="E247" s="146">
        <f t="shared" si="20"/>
        <v>1.5067311508545345E-2</v>
      </c>
      <c r="F247" s="147">
        <f t="shared" si="21"/>
        <v>1.511796687370115E-4</v>
      </c>
    </row>
    <row r="248" spans="2:6">
      <c r="B248" s="148">
        <v>245</v>
      </c>
      <c r="C248" s="11">
        <f t="shared" si="23"/>
        <v>99.9</v>
      </c>
      <c r="D248" s="146">
        <f t="shared" si="19"/>
        <v>99.854340838403346</v>
      </c>
      <c r="E248" s="146">
        <f t="shared" si="20"/>
        <v>4.5659161596660169E-2</v>
      </c>
      <c r="F248" s="147">
        <f t="shared" si="21"/>
        <v>4.5725765363124893E-4</v>
      </c>
    </row>
    <row r="249" spans="2:6">
      <c r="B249" s="148">
        <v>246</v>
      </c>
      <c r="C249" s="11">
        <f t="shared" si="23"/>
        <v>100.12</v>
      </c>
      <c r="D249" s="146">
        <f t="shared" si="19"/>
        <v>100.04019382593017</v>
      </c>
      <c r="E249" s="146">
        <f t="shared" si="20"/>
        <v>7.9806174069830149E-2</v>
      </c>
      <c r="F249" s="147">
        <f t="shared" si="21"/>
        <v>7.9774109802999149E-4</v>
      </c>
    </row>
    <row r="250" spans="2:6">
      <c r="B250" s="148">
        <v>247</v>
      </c>
      <c r="C250" s="11">
        <f t="shared" si="23"/>
        <v>100.34</v>
      </c>
      <c r="D250" s="146">
        <f t="shared" si="19"/>
        <v>100.2223065078241</v>
      </c>
      <c r="E250" s="146">
        <f t="shared" si="20"/>
        <v>0.11769349217590275</v>
      </c>
      <c r="F250" s="147">
        <f t="shared" si="21"/>
        <v>1.1743243223674149E-3</v>
      </c>
    </row>
    <row r="251" spans="2:6">
      <c r="B251" s="148">
        <v>248</v>
      </c>
      <c r="C251" s="11">
        <f t="shared" si="23"/>
        <v>100.56</v>
      </c>
      <c r="D251" s="146">
        <f t="shared" si="19"/>
        <v>100.40048876720334</v>
      </c>
      <c r="E251" s="146">
        <f t="shared" si="20"/>
        <v>0.15951123279666035</v>
      </c>
      <c r="F251" s="147">
        <f t="shared" si="21"/>
        <v>1.5887495644220095E-3</v>
      </c>
    </row>
    <row r="252" spans="2:6">
      <c r="B252" s="148">
        <v>249</v>
      </c>
      <c r="C252" s="11">
        <f t="shared" si="23"/>
        <v>100.78</v>
      </c>
      <c r="D252" s="146">
        <f t="shared" si="19"/>
        <v>100.57454544936226</v>
      </c>
      <c r="E252" s="146">
        <f t="shared" si="20"/>
        <v>0.20545455063773943</v>
      </c>
      <c r="F252" s="147">
        <f t="shared" si="21"/>
        <v>2.0428086422838998E-3</v>
      </c>
    </row>
    <row r="253" spans="2:6">
      <c r="B253" s="145">
        <v>250</v>
      </c>
      <c r="C253" s="10">
        <v>101</v>
      </c>
      <c r="D253" s="146">
        <f t="shared" si="19"/>
        <v>101.00780335815435</v>
      </c>
      <c r="E253" s="146">
        <f t="shared" si="20"/>
        <v>-7.8033581543479613E-3</v>
      </c>
      <c r="F253" s="147">
        <f t="shared" si="21"/>
        <v>-7.7255003028575686E-5</v>
      </c>
    </row>
    <row r="254" spans="2:6">
      <c r="B254" s="148">
        <v>251</v>
      </c>
      <c r="C254" s="11">
        <f t="shared" ref="C254:C277" si="24">C$278-(B$278-B254)*((C$278-C$253)/(B$278-B$253))</f>
        <v>101.14</v>
      </c>
      <c r="D254" s="146">
        <f t="shared" si="19"/>
        <v>101.17891098709735</v>
      </c>
      <c r="E254" s="146">
        <f t="shared" si="20"/>
        <v>-3.8910987097352745E-2</v>
      </c>
      <c r="F254" s="147">
        <f t="shared" si="21"/>
        <v>-3.8457606153041723E-4</v>
      </c>
    </row>
    <row r="255" spans="2:6">
      <c r="B255" s="148">
        <v>252</v>
      </c>
      <c r="C255" s="11">
        <f t="shared" si="24"/>
        <v>101.28</v>
      </c>
      <c r="D255" s="146">
        <f t="shared" si="19"/>
        <v>101.34973525556015</v>
      </c>
      <c r="E255" s="146">
        <f t="shared" si="20"/>
        <v>-6.9735255560146925E-2</v>
      </c>
      <c r="F255" s="147">
        <f t="shared" si="21"/>
        <v>-6.8806549306033027E-4</v>
      </c>
    </row>
    <row r="256" spans="2:6">
      <c r="B256" s="148">
        <v>253</v>
      </c>
      <c r="C256" s="11">
        <f t="shared" si="24"/>
        <v>101.42</v>
      </c>
      <c r="D256" s="146">
        <f t="shared" si="19"/>
        <v>101.52028130683999</v>
      </c>
      <c r="E256" s="146">
        <f t="shared" si="20"/>
        <v>-0.10028130683998882</v>
      </c>
      <c r="F256" s="147">
        <f t="shared" si="21"/>
        <v>-9.8779579360008807E-4</v>
      </c>
    </row>
    <row r="257" spans="2:6">
      <c r="B257" s="148">
        <v>254</v>
      </c>
      <c r="C257" s="11">
        <f t="shared" si="24"/>
        <v>101.56</v>
      </c>
      <c r="D257" s="146">
        <f t="shared" si="19"/>
        <v>101.69055422610121</v>
      </c>
      <c r="E257" s="146">
        <f t="shared" si="20"/>
        <v>-0.1305542261012107</v>
      </c>
      <c r="F257" s="147">
        <f t="shared" si="21"/>
        <v>-1.2838382787346836E-3</v>
      </c>
    </row>
    <row r="258" spans="2:6">
      <c r="B258" s="148">
        <v>255</v>
      </c>
      <c r="C258" s="11">
        <f t="shared" si="24"/>
        <v>101.7</v>
      </c>
      <c r="D258" s="146">
        <f t="shared" si="19"/>
        <v>101.86055904067135</v>
      </c>
      <c r="E258" s="146">
        <f t="shared" si="20"/>
        <v>-0.16055904067134463</v>
      </c>
      <c r="F258" s="147">
        <f t="shared" si="21"/>
        <v>-1.5762631010814987E-3</v>
      </c>
    </row>
    <row r="259" spans="2:6">
      <c r="B259" s="148">
        <v>256</v>
      </c>
      <c r="C259" s="11">
        <f t="shared" si="24"/>
        <v>101.84</v>
      </c>
      <c r="D259" s="146">
        <f t="shared" si="19"/>
        <v>102.03030072033657</v>
      </c>
      <c r="E259" s="146">
        <f t="shared" si="20"/>
        <v>-0.19030072033656609</v>
      </c>
      <c r="F259" s="147">
        <f t="shared" si="21"/>
        <v>-1.8651392673846301E-3</v>
      </c>
    </row>
    <row r="260" spans="2:6">
      <c r="B260" s="148">
        <v>257</v>
      </c>
      <c r="C260" s="11">
        <f t="shared" si="24"/>
        <v>101.98</v>
      </c>
      <c r="D260" s="146">
        <f t="shared" ref="D260:D323" si="25">IF(B260&lt;5,0,IF(B260&lt;30,($N$15*B260^6)+($N$16*B260^5)+($N$17*B260^4)+($N$18*B260^3)+($N$19*B260^2)+($N$20*B260)+$N$21,IF(B260&lt;250,($N$6*B260^6)+($N$7*B260^5)+($N$8*B260^4)+($N$9*B260^3)+($N$10*B260^2)+($N$11*B260)+$N$12,IF(B260&lt;1000,(2.363443+6.066492*B260/100-2.085061*(B260/100)^2+0.4751229*(B260/100)^3-0.05086087*(B260/100)^4+0.001382764*(B260/100)^5+0.0001469133*(B260/100)^6-0.000008531221*(B260/100)^7)*10,IF(B260&lt;9000,(0.8759882+1.259865*(B260/1000)-0.02582505*(B260/1000)^2+0.0008687869*(B260/1000)^3-0.0000101455*(B260/1000)^4)*100,(0.095*B260)+205)))))</f>
        <v>102.19978417763811</v>
      </c>
      <c r="E260" s="146">
        <f t="shared" si="20"/>
        <v>-0.21978417763810398</v>
      </c>
      <c r="F260" s="147">
        <f t="shared" si="21"/>
        <v>-2.15053465529913E-3</v>
      </c>
    </row>
    <row r="261" spans="2:6">
      <c r="B261" s="148">
        <v>258</v>
      </c>
      <c r="C261" s="11">
        <f t="shared" si="24"/>
        <v>102.12</v>
      </c>
      <c r="D261" s="146">
        <f t="shared" si="25"/>
        <v>102.3690142681678</v>
      </c>
      <c r="E261" s="146">
        <f t="shared" si="20"/>
        <v>-0.24901426816779804</v>
      </c>
      <c r="F261" s="147">
        <f t="shared" si="21"/>
        <v>-2.4325160298552806E-3</v>
      </c>
    </row>
    <row r="262" spans="2:6">
      <c r="B262" s="148">
        <v>259</v>
      </c>
      <c r="C262" s="11">
        <f t="shared" si="24"/>
        <v>102.26</v>
      </c>
      <c r="D262" s="146">
        <f t="shared" si="25"/>
        <v>102.53799579086396</v>
      </c>
      <c r="E262" s="146">
        <f t="shared" si="20"/>
        <v>-0.27799579086395454</v>
      </c>
      <c r="F262" s="147">
        <f t="shared" si="21"/>
        <v>-2.7111490596223309E-3</v>
      </c>
    </row>
    <row r="263" spans="2:6">
      <c r="B263" s="148">
        <v>260</v>
      </c>
      <c r="C263" s="11">
        <f t="shared" si="24"/>
        <v>102.4</v>
      </c>
      <c r="D263" s="146">
        <f t="shared" si="25"/>
        <v>102.70673348830711</v>
      </c>
      <c r="E263" s="146">
        <f t="shared" si="20"/>
        <v>-0.30673348830710268</v>
      </c>
      <c r="F263" s="147">
        <f t="shared" si="21"/>
        <v>-2.9864983325754713E-3</v>
      </c>
    </row>
    <row r="264" spans="2:6">
      <c r="B264" s="148">
        <v>261</v>
      </c>
      <c r="C264" s="11">
        <f t="shared" si="24"/>
        <v>102.54</v>
      </c>
      <c r="D264" s="146">
        <f t="shared" si="25"/>
        <v>102.87523204701587</v>
      </c>
      <c r="E264" s="146">
        <f t="shared" ref="E264:E327" si="26">C264-D264</f>
        <v>-0.33523204701586451</v>
      </c>
      <c r="F264" s="147">
        <f t="shared" ref="F264:F327" si="27">C264/D264-1</f>
        <v>-3.2586273716753711E-3</v>
      </c>
    </row>
    <row r="265" spans="2:6">
      <c r="B265" s="148">
        <v>262</v>
      </c>
      <c r="C265" s="11">
        <f t="shared" si="24"/>
        <v>102.68</v>
      </c>
      <c r="D265" s="146">
        <f t="shared" si="25"/>
        <v>103.04349609774226</v>
      </c>
      <c r="E265" s="146">
        <f t="shared" si="26"/>
        <v>-0.36349609774225655</v>
      </c>
      <c r="F265" s="147">
        <f t="shared" si="27"/>
        <v>-3.5275986501609458E-3</v>
      </c>
    </row>
    <row r="266" spans="2:6">
      <c r="B266" s="148">
        <v>263</v>
      </c>
      <c r="C266" s="11">
        <f t="shared" si="24"/>
        <v>102.82</v>
      </c>
      <c r="D266" s="146">
        <f t="shared" si="25"/>
        <v>103.2115302157677</v>
      </c>
      <c r="E266" s="146">
        <f t="shared" si="26"/>
        <v>-0.39153021576770186</v>
      </c>
      <c r="F266" s="147">
        <f t="shared" si="27"/>
        <v>-3.793473606574671E-3</v>
      </c>
    </row>
    <row r="267" spans="2:6">
      <c r="B267" s="148">
        <v>264</v>
      </c>
      <c r="C267" s="11">
        <f t="shared" si="24"/>
        <v>102.96</v>
      </c>
      <c r="D267" s="146">
        <f t="shared" si="25"/>
        <v>103.37933892119814</v>
      </c>
      <c r="E267" s="146">
        <f t="shared" si="26"/>
        <v>-0.41933892119814686</v>
      </c>
      <c r="F267" s="147">
        <f t="shared" si="27"/>
        <v>-4.0563126595130061E-3</v>
      </c>
    </row>
    <row r="268" spans="2:6">
      <c r="B268" s="148">
        <v>265</v>
      </c>
      <c r="C268" s="11">
        <f t="shared" si="24"/>
        <v>103.1</v>
      </c>
      <c r="D268" s="146">
        <f t="shared" si="25"/>
        <v>103.5469266792598</v>
      </c>
      <c r="E268" s="146">
        <f t="shared" si="26"/>
        <v>-0.44692667925980345</v>
      </c>
      <c r="F268" s="147">
        <f t="shared" si="27"/>
        <v>-4.3161752221210214E-3</v>
      </c>
    </row>
    <row r="269" spans="2:6">
      <c r="B269" s="148">
        <v>266</v>
      </c>
      <c r="C269" s="11">
        <f t="shared" si="24"/>
        <v>103.24</v>
      </c>
      <c r="D269" s="146">
        <f t="shared" si="25"/>
        <v>103.71429790059443</v>
      </c>
      <c r="E269" s="146">
        <f t="shared" si="26"/>
        <v>-0.47429790059443633</v>
      </c>
      <c r="F269" s="147">
        <f t="shared" si="27"/>
        <v>-4.5731197163291215E-3</v>
      </c>
    </row>
    <row r="270" spans="2:6">
      <c r="B270" s="148">
        <v>267</v>
      </c>
      <c r="C270" s="11">
        <f t="shared" si="24"/>
        <v>103.38</v>
      </c>
      <c r="D270" s="146">
        <f t="shared" si="25"/>
        <v>103.8814569415548</v>
      </c>
      <c r="E270" s="146">
        <f t="shared" si="26"/>
        <v>-0.50145694155480669</v>
      </c>
      <c r="F270" s="147">
        <f t="shared" si="27"/>
        <v>-4.8272035868435204E-3</v>
      </c>
    </row>
    <row r="271" spans="2:6">
      <c r="B271" s="148">
        <v>268</v>
      </c>
      <c r="C271" s="11">
        <f t="shared" si="24"/>
        <v>103.52</v>
      </c>
      <c r="D271" s="146">
        <f t="shared" si="25"/>
        <v>104.0484081044994</v>
      </c>
      <c r="E271" s="146">
        <f t="shared" si="26"/>
        <v>-0.52840810449940534</v>
      </c>
      <c r="F271" s="147">
        <f t="shared" si="27"/>
        <v>-5.0784833148884712E-3</v>
      </c>
    </row>
    <row r="272" spans="2:6">
      <c r="B272" s="148">
        <v>269</v>
      </c>
      <c r="C272" s="11">
        <f t="shared" si="24"/>
        <v>103.66</v>
      </c>
      <c r="D272" s="146">
        <f t="shared" si="25"/>
        <v>104.2151556380884</v>
      </c>
      <c r="E272" s="146">
        <f t="shared" si="26"/>
        <v>-0.55515563808840795</v>
      </c>
      <c r="F272" s="147">
        <f t="shared" si="27"/>
        <v>-5.3270144317234536E-3</v>
      </c>
    </row>
    <row r="273" spans="2:6">
      <c r="B273" s="148">
        <v>270</v>
      </c>
      <c r="C273" s="11">
        <f t="shared" si="24"/>
        <v>103.8</v>
      </c>
      <c r="D273" s="146">
        <f t="shared" si="25"/>
        <v>104.38170373757799</v>
      </c>
      <c r="E273" s="146">
        <f t="shared" si="26"/>
        <v>-0.58170373757799609</v>
      </c>
      <c r="F273" s="147">
        <f t="shared" si="27"/>
        <v>-5.5728515319163341E-3</v>
      </c>
    </row>
    <row r="274" spans="2:6">
      <c r="B274" s="148">
        <v>271</v>
      </c>
      <c r="C274" s="11">
        <f t="shared" si="24"/>
        <v>103.94</v>
      </c>
      <c r="D274" s="146">
        <f t="shared" si="25"/>
        <v>104.54805654511563</v>
      </c>
      <c r="E274" s="146">
        <f t="shared" si="26"/>
        <v>-0.60805654511563034</v>
      </c>
      <c r="F274" s="147">
        <f t="shared" si="27"/>
        <v>-5.8160482863995888E-3</v>
      </c>
    </row>
    <row r="275" spans="2:6">
      <c r="B275" s="148">
        <v>272</v>
      </c>
      <c r="C275" s="11">
        <f t="shared" si="24"/>
        <v>104.08</v>
      </c>
      <c r="D275" s="146">
        <f t="shared" si="25"/>
        <v>104.71421815003487</v>
      </c>
      <c r="E275" s="146">
        <f t="shared" si="26"/>
        <v>-0.6342181500348687</v>
      </c>
      <c r="F275" s="147">
        <f t="shared" si="27"/>
        <v>-6.0566574553052588E-3</v>
      </c>
    </row>
    <row r="276" spans="2:6">
      <c r="B276" s="148">
        <v>273</v>
      </c>
      <c r="C276" s="11">
        <f t="shared" si="24"/>
        <v>104.22</v>
      </c>
      <c r="D276" s="146">
        <f t="shared" si="25"/>
        <v>104.88019258915016</v>
      </c>
      <c r="E276" s="146">
        <f t="shared" si="26"/>
        <v>-0.66019258915015655</v>
      </c>
      <c r="F276" s="147">
        <f t="shared" si="27"/>
        <v>-6.2947309005843E-3</v>
      </c>
    </row>
    <row r="277" spans="2:6">
      <c r="B277" s="148">
        <v>274</v>
      </c>
      <c r="C277" s="11">
        <f t="shared" si="24"/>
        <v>104.36</v>
      </c>
      <c r="D277" s="146">
        <f t="shared" si="25"/>
        <v>105.04598384705145</v>
      </c>
      <c r="E277" s="146">
        <f t="shared" si="26"/>
        <v>-0.68598384705144611</v>
      </c>
      <c r="F277" s="147">
        <f t="shared" si="27"/>
        <v>-6.5303195984174334E-3</v>
      </c>
    </row>
    <row r="278" spans="2:6">
      <c r="B278" s="145">
        <v>275</v>
      </c>
      <c r="C278" s="10">
        <v>104.5</v>
      </c>
      <c r="D278" s="146">
        <f t="shared" si="25"/>
        <v>105.21159585639857</v>
      </c>
      <c r="E278" s="146">
        <f t="shared" si="26"/>
        <v>-0.71159585639857426</v>
      </c>
      <c r="F278" s="147">
        <f t="shared" si="27"/>
        <v>-6.7634736514197158E-3</v>
      </c>
    </row>
    <row r="279" spans="2:6">
      <c r="B279" s="148">
        <v>276</v>
      </c>
      <c r="C279" s="11">
        <f t="shared" ref="C279:C302" si="28">C$303-(B$303-B279)*((C$303-C$278)/(B$303-B$278))</f>
        <v>104.64</v>
      </c>
      <c r="D279" s="146">
        <f t="shared" si="25"/>
        <v>105.37703249821601</v>
      </c>
      <c r="E279" s="146">
        <f t="shared" si="26"/>
        <v>-0.73703249821600991</v>
      </c>
      <c r="F279" s="147">
        <f t="shared" si="27"/>
        <v>-6.9942423006501553E-3</v>
      </c>
    </row>
    <row r="280" spans="2:6">
      <c r="B280" s="148">
        <v>277</v>
      </c>
      <c r="C280" s="11">
        <f t="shared" si="28"/>
        <v>104.78</v>
      </c>
      <c r="D280" s="146">
        <f t="shared" si="25"/>
        <v>105.54229760218678</v>
      </c>
      <c r="E280" s="146">
        <f t="shared" si="26"/>
        <v>-0.76229760218677711</v>
      </c>
      <c r="F280" s="147">
        <f t="shared" si="27"/>
        <v>-7.2226739374203763E-3</v>
      </c>
    </row>
    <row r="281" spans="2:6">
      <c r="B281" s="148">
        <v>278</v>
      </c>
      <c r="C281" s="11">
        <f t="shared" si="28"/>
        <v>104.92</v>
      </c>
      <c r="D281" s="146">
        <f t="shared" si="25"/>
        <v>105.70739494694705</v>
      </c>
      <c r="E281" s="146">
        <f t="shared" si="26"/>
        <v>-0.78739494694704604</v>
      </c>
      <c r="F281" s="147">
        <f t="shared" si="27"/>
        <v>-7.4488161149200982E-3</v>
      </c>
    </row>
    <row r="282" spans="2:6">
      <c r="B282" s="148">
        <v>279</v>
      </c>
      <c r="C282" s="11">
        <f t="shared" si="28"/>
        <v>105.06</v>
      </c>
      <c r="D282" s="146">
        <f t="shared" si="25"/>
        <v>105.87232826037965</v>
      </c>
      <c r="E282" s="146">
        <f t="shared" si="26"/>
        <v>-0.81232826037964401</v>
      </c>
      <c r="F282" s="147">
        <f t="shared" si="27"/>
        <v>-7.6727155596486574E-3</v>
      </c>
    </row>
    <row r="283" spans="2:6">
      <c r="B283" s="148">
        <v>280</v>
      </c>
      <c r="C283" s="11">
        <f t="shared" si="28"/>
        <v>105.2</v>
      </c>
      <c r="D283" s="146">
        <f t="shared" si="25"/>
        <v>106.03710121990858</v>
      </c>
      <c r="E283" s="146">
        <f t="shared" si="26"/>
        <v>-0.83710121990857544</v>
      </c>
      <c r="F283" s="147">
        <f t="shared" si="27"/>
        <v>-7.8944181826747784E-3</v>
      </c>
    </row>
    <row r="284" spans="2:6">
      <c r="B284" s="148">
        <v>281</v>
      </c>
      <c r="C284" s="11">
        <f t="shared" si="28"/>
        <v>105.34</v>
      </c>
      <c r="D284" s="146">
        <f t="shared" si="25"/>
        <v>106.20171745279215</v>
      </c>
      <c r="E284" s="146">
        <f t="shared" si="26"/>
        <v>-0.86171745279214917</v>
      </c>
      <c r="F284" s="147">
        <f t="shared" si="27"/>
        <v>-8.113969090708828E-3</v>
      </c>
    </row>
    <row r="285" spans="2:6">
      <c r="B285" s="148">
        <v>282</v>
      </c>
      <c r="C285" s="11">
        <f t="shared" si="28"/>
        <v>105.48</v>
      </c>
      <c r="D285" s="146">
        <f t="shared" si="25"/>
        <v>106.36618053641735</v>
      </c>
      <c r="E285" s="146">
        <f t="shared" si="26"/>
        <v>-0.88618053641734207</v>
      </c>
      <c r="F285" s="147">
        <f t="shared" si="27"/>
        <v>-8.3314125970137543E-3</v>
      </c>
    </row>
    <row r="286" spans="2:6">
      <c r="B286" s="148">
        <v>283</v>
      </c>
      <c r="C286" s="11">
        <f t="shared" si="28"/>
        <v>105.62</v>
      </c>
      <c r="D286" s="146">
        <f t="shared" si="25"/>
        <v>106.53049399859245</v>
      </c>
      <c r="E286" s="146">
        <f t="shared" si="26"/>
        <v>-0.91049399859244318</v>
      </c>
      <c r="F286" s="147">
        <f t="shared" si="27"/>
        <v>-8.5467922321328382E-3</v>
      </c>
    </row>
    <row r="287" spans="2:6">
      <c r="B287" s="148">
        <v>284</v>
      </c>
      <c r="C287" s="11">
        <f t="shared" si="28"/>
        <v>105.76</v>
      </c>
      <c r="D287" s="146">
        <f t="shared" si="25"/>
        <v>106.69466131784121</v>
      </c>
      <c r="E287" s="146">
        <f t="shared" si="26"/>
        <v>-0.93466131784120421</v>
      </c>
      <c r="F287" s="147">
        <f t="shared" si="27"/>
        <v>-8.7601507544681212E-3</v>
      </c>
    </row>
    <row r="288" spans="2:6">
      <c r="B288" s="148">
        <v>285</v>
      </c>
      <c r="C288" s="11">
        <f t="shared" si="28"/>
        <v>105.9</v>
      </c>
      <c r="D288" s="146">
        <f t="shared" si="25"/>
        <v>106.85868592369543</v>
      </c>
      <c r="E288" s="146">
        <f t="shared" si="26"/>
        <v>-0.95868592369542682</v>
      </c>
      <c r="F288" s="147">
        <f t="shared" si="27"/>
        <v>-8.9715301606834164E-3</v>
      </c>
    </row>
    <row r="289" spans="2:6">
      <c r="B289" s="148">
        <v>286</v>
      </c>
      <c r="C289" s="11">
        <f t="shared" si="28"/>
        <v>106.04</v>
      </c>
      <c r="D289" s="146">
        <f t="shared" si="25"/>
        <v>107.0225711969883</v>
      </c>
      <c r="E289" s="146">
        <f t="shared" si="26"/>
        <v>-0.98257119698828888</v>
      </c>
      <c r="F289" s="147">
        <f t="shared" si="27"/>
        <v>-9.1809716959588838E-3</v>
      </c>
    </row>
    <row r="290" spans="2:6">
      <c r="B290" s="148">
        <v>287</v>
      </c>
      <c r="C290" s="11">
        <f t="shared" si="28"/>
        <v>106.18</v>
      </c>
      <c r="D290" s="146">
        <f t="shared" si="25"/>
        <v>107.18632047014707</v>
      </c>
      <c r="E290" s="146">
        <f t="shared" si="26"/>
        <v>-1.0063204701470596</v>
      </c>
      <c r="F290" s="147">
        <f t="shared" si="27"/>
        <v>-9.3885158640867328E-3</v>
      </c>
    </row>
    <row r="291" spans="2:6">
      <c r="B291" s="148">
        <v>288</v>
      </c>
      <c r="C291" s="11">
        <f t="shared" si="28"/>
        <v>106.32</v>
      </c>
      <c r="D291" s="146">
        <f t="shared" si="25"/>
        <v>107.34993702748595</v>
      </c>
      <c r="E291" s="146">
        <f t="shared" si="26"/>
        <v>-1.0299370274859569</v>
      </c>
      <c r="F291" s="147">
        <f t="shared" si="27"/>
        <v>-9.5942024374197077E-3</v>
      </c>
    </row>
    <row r="292" spans="2:6">
      <c r="B292" s="148">
        <v>289</v>
      </c>
      <c r="C292" s="11">
        <f t="shared" si="28"/>
        <v>106.46</v>
      </c>
      <c r="D292" s="146">
        <f t="shared" si="25"/>
        <v>107.51342410549837</v>
      </c>
      <c r="E292" s="146">
        <f t="shared" si="26"/>
        <v>-1.0534241054983795</v>
      </c>
      <c r="F292" s="147">
        <f t="shared" si="27"/>
        <v>-9.7980704666674745E-3</v>
      </c>
    </row>
    <row r="293" spans="2:6">
      <c r="B293" s="148">
        <v>290</v>
      </c>
      <c r="C293" s="11">
        <f t="shared" si="28"/>
        <v>106.6</v>
      </c>
      <c r="D293" s="146">
        <f t="shared" si="25"/>
        <v>107.67678489314955</v>
      </c>
      <c r="E293" s="146">
        <f t="shared" si="26"/>
        <v>-1.0767848931495507</v>
      </c>
      <c r="F293" s="147">
        <f t="shared" si="27"/>
        <v>-1.0000158290555117E-2</v>
      </c>
    </row>
    <row r="294" spans="2:6">
      <c r="B294" s="148">
        <v>291</v>
      </c>
      <c r="C294" s="11">
        <f t="shared" si="28"/>
        <v>106.74</v>
      </c>
      <c r="D294" s="146">
        <f t="shared" si="25"/>
        <v>107.84002253216849</v>
      </c>
      <c r="E294" s="146">
        <f t="shared" si="26"/>
        <v>-1.1000225321684951</v>
      </c>
      <c r="F294" s="147">
        <f t="shared" si="27"/>
        <v>-1.020050354533597E-2</v>
      </c>
    </row>
    <row r="295" spans="2:6">
      <c r="B295" s="148">
        <v>292</v>
      </c>
      <c r="C295" s="11">
        <f t="shared" si="28"/>
        <v>106.88</v>
      </c>
      <c r="D295" s="146">
        <f t="shared" si="25"/>
        <v>108.00314011734017</v>
      </c>
      <c r="E295" s="146">
        <f t="shared" si="26"/>
        <v>-1.1231401173401707</v>
      </c>
      <c r="F295" s="147">
        <f t="shared" si="27"/>
        <v>-1.0399143174170011E-2</v>
      </c>
    </row>
    <row r="296" spans="2:6">
      <c r="B296" s="148">
        <v>293</v>
      </c>
      <c r="C296" s="11">
        <f t="shared" si="28"/>
        <v>107.02</v>
      </c>
      <c r="D296" s="146">
        <f t="shared" si="25"/>
        <v>108.16614069679689</v>
      </c>
      <c r="E296" s="146">
        <f t="shared" si="26"/>
        <v>-1.1461406967968912</v>
      </c>
      <c r="F296" s="147">
        <f t="shared" si="27"/>
        <v>-1.0596113436363241E-2</v>
      </c>
    </row>
    <row r="297" spans="2:6">
      <c r="B297" s="148">
        <v>294</v>
      </c>
      <c r="C297" s="11">
        <f t="shared" si="28"/>
        <v>107.16</v>
      </c>
      <c r="D297" s="146">
        <f t="shared" si="25"/>
        <v>108.3290272723105</v>
      </c>
      <c r="E297" s="146">
        <f t="shared" si="26"/>
        <v>-1.1690272723105011</v>
      </c>
      <c r="F297" s="147">
        <f t="shared" si="27"/>
        <v>-1.0791449916483398E-2</v>
      </c>
    </row>
    <row r="298" spans="2:6">
      <c r="B298" s="148">
        <v>295</v>
      </c>
      <c r="C298" s="11">
        <f t="shared" si="28"/>
        <v>107.3</v>
      </c>
      <c r="D298" s="146">
        <f t="shared" si="25"/>
        <v>108.49180279958321</v>
      </c>
      <c r="E298" s="146">
        <f t="shared" si="26"/>
        <v>-1.1918027995832148</v>
      </c>
      <c r="F298" s="147">
        <f t="shared" si="27"/>
        <v>-1.0985187533336771E-2</v>
      </c>
    </row>
    <row r="299" spans="2:6">
      <c r="B299" s="148">
        <v>296</v>
      </c>
      <c r="C299" s="11">
        <f t="shared" si="28"/>
        <v>107.44</v>
      </c>
      <c r="D299" s="146">
        <f t="shared" si="25"/>
        <v>108.65447018853921</v>
      </c>
      <c r="E299" s="146">
        <f t="shared" si="26"/>
        <v>-1.2144701885392095</v>
      </c>
      <c r="F299" s="147">
        <f t="shared" si="27"/>
        <v>-1.117736054882823E-2</v>
      </c>
    </row>
    <row r="300" spans="2:6">
      <c r="B300" s="148">
        <v>297</v>
      </c>
      <c r="C300" s="11">
        <f t="shared" si="28"/>
        <v>107.58</v>
      </c>
      <c r="D300" s="146">
        <f t="shared" si="25"/>
        <v>108.81703230361531</v>
      </c>
      <c r="E300" s="146">
        <f t="shared" si="26"/>
        <v>-1.2370323036153081</v>
      </c>
      <c r="F300" s="147">
        <f t="shared" si="27"/>
        <v>-1.1368002576690461E-2</v>
      </c>
    </row>
    <row r="301" spans="2:6">
      <c r="B301" s="148">
        <v>298</v>
      </c>
      <c r="C301" s="11">
        <f t="shared" si="28"/>
        <v>107.72</v>
      </c>
      <c r="D301" s="146">
        <f t="shared" si="25"/>
        <v>108.97949196405204</v>
      </c>
      <c r="E301" s="146">
        <f t="shared" si="26"/>
        <v>-1.2594919640520459</v>
      </c>
      <c r="F301" s="147">
        <f t="shared" si="27"/>
        <v>-1.1557146591098966E-2</v>
      </c>
    </row>
    <row r="302" spans="2:6">
      <c r="B302" s="148">
        <v>299</v>
      </c>
      <c r="C302" s="11">
        <f t="shared" si="28"/>
        <v>107.86</v>
      </c>
      <c r="D302" s="146">
        <f t="shared" si="25"/>
        <v>109.14185194418393</v>
      </c>
      <c r="E302" s="146">
        <f t="shared" si="26"/>
        <v>-1.2818519441839271</v>
      </c>
      <c r="F302" s="147">
        <f t="shared" si="27"/>
        <v>-1.1744824935163045E-2</v>
      </c>
    </row>
    <row r="303" spans="2:6">
      <c r="B303" s="145">
        <v>300</v>
      </c>
      <c r="C303" s="10">
        <v>108</v>
      </c>
      <c r="D303" s="146">
        <f t="shared" si="25"/>
        <v>109.30411497373001</v>
      </c>
      <c r="E303" s="146">
        <f t="shared" si="26"/>
        <v>-1.3041149737300088</v>
      </c>
      <c r="F303" s="147">
        <f t="shared" si="27"/>
        <v>-1.1931069329305988E-2</v>
      </c>
    </row>
    <row r="304" spans="2:6">
      <c r="B304" s="148">
        <v>310</v>
      </c>
      <c r="C304" s="11">
        <f t="shared" ref="C304:C312" si="29">C$313-(B$313-B304)*((C$313-C$303)/(B$313-B$303))</f>
        <v>109.9</v>
      </c>
      <c r="D304" s="146">
        <f t="shared" si="25"/>
        <v>110.92198220517631</v>
      </c>
      <c r="E304" s="146">
        <f t="shared" si="26"/>
        <v>-1.0219822051763003</v>
      </c>
      <c r="F304" s="147">
        <f t="shared" si="27"/>
        <v>-9.2135227378636886E-3</v>
      </c>
    </row>
    <row r="305" spans="2:6">
      <c r="B305" s="148">
        <v>320</v>
      </c>
      <c r="C305" s="11">
        <f t="shared" si="29"/>
        <v>111.8</v>
      </c>
      <c r="D305" s="146">
        <f t="shared" si="25"/>
        <v>112.53283693748375</v>
      </c>
      <c r="E305" s="146">
        <f t="shared" si="26"/>
        <v>-0.73283693748375356</v>
      </c>
      <c r="F305" s="147">
        <f t="shared" si="27"/>
        <v>-6.512205303158547E-3</v>
      </c>
    </row>
    <row r="306" spans="2:6">
      <c r="B306" s="148">
        <v>330</v>
      </c>
      <c r="C306" s="11">
        <f t="shared" si="29"/>
        <v>113.7</v>
      </c>
      <c r="D306" s="146">
        <f t="shared" si="25"/>
        <v>114.13871797434339</v>
      </c>
      <c r="E306" s="146">
        <f t="shared" si="26"/>
        <v>-0.43871797434339044</v>
      </c>
      <c r="F306" s="147">
        <f t="shared" si="27"/>
        <v>-3.8437261441994774E-3</v>
      </c>
    </row>
    <row r="307" spans="2:6">
      <c r="B307" s="148">
        <v>340</v>
      </c>
      <c r="C307" s="11">
        <f t="shared" si="29"/>
        <v>115.6</v>
      </c>
      <c r="D307" s="146">
        <f t="shared" si="25"/>
        <v>115.7412811452261</v>
      </c>
      <c r="E307" s="146">
        <f t="shared" si="26"/>
        <v>-0.14128114522610247</v>
      </c>
      <c r="F307" s="147">
        <f t="shared" si="27"/>
        <v>-1.2206633953604218E-3</v>
      </c>
    </row>
    <row r="308" spans="2:6">
      <c r="B308" s="148">
        <v>350</v>
      </c>
      <c r="C308" s="11">
        <f t="shared" si="29"/>
        <v>117.5</v>
      </c>
      <c r="D308" s="146">
        <f t="shared" si="25"/>
        <v>117.3418275593279</v>
      </c>
      <c r="E308" s="146">
        <f t="shared" si="26"/>
        <v>0.15817244067210368</v>
      </c>
      <c r="F308" s="147">
        <f t="shared" si="27"/>
        <v>1.3479629895156719E-3</v>
      </c>
    </row>
    <row r="309" spans="2:6">
      <c r="B309" s="148">
        <v>360</v>
      </c>
      <c r="C309" s="11">
        <f t="shared" si="29"/>
        <v>119.4</v>
      </c>
      <c r="D309" s="146">
        <f t="shared" si="25"/>
        <v>118.94133149837786</v>
      </c>
      <c r="E309" s="146">
        <f t="shared" si="26"/>
        <v>0.45866850162214234</v>
      </c>
      <c r="F309" s="147">
        <f t="shared" si="27"/>
        <v>3.8562583405112871E-3</v>
      </c>
    </row>
    <row r="310" spans="2:6">
      <c r="B310" s="148">
        <v>370</v>
      </c>
      <c r="C310" s="11">
        <f t="shared" si="29"/>
        <v>121.3</v>
      </c>
      <c r="D310" s="146">
        <f t="shared" si="25"/>
        <v>120.54046790531176</v>
      </c>
      <c r="E310" s="146">
        <f t="shared" si="26"/>
        <v>0.75953209468823957</v>
      </c>
      <c r="F310" s="147">
        <f t="shared" si="27"/>
        <v>6.3010548066304573E-3</v>
      </c>
    </row>
    <row r="311" spans="2:6">
      <c r="B311" s="148">
        <v>380</v>
      </c>
      <c r="C311" s="11">
        <f t="shared" si="29"/>
        <v>123.2</v>
      </c>
      <c r="D311" s="146">
        <f t="shared" si="25"/>
        <v>122.1396394258141</v>
      </c>
      <c r="E311" s="146">
        <f t="shared" si="26"/>
        <v>1.060360574185907</v>
      </c>
      <c r="F311" s="147">
        <f t="shared" si="27"/>
        <v>8.6815433480131876E-3</v>
      </c>
    </row>
    <row r="312" spans="2:6">
      <c r="B312" s="148">
        <v>390</v>
      </c>
      <c r="C312" s="11">
        <f t="shared" si="29"/>
        <v>125.1</v>
      </c>
      <c r="D312" s="146">
        <f t="shared" si="25"/>
        <v>123.73900295973179</v>
      </c>
      <c r="E312" s="146">
        <f t="shared" si="26"/>
        <v>1.3609970402682023</v>
      </c>
      <c r="F312" s="147">
        <f t="shared" si="27"/>
        <v>1.0998933300853553E-2</v>
      </c>
    </row>
    <row r="313" spans="2:6">
      <c r="B313" s="145">
        <v>400</v>
      </c>
      <c r="C313" s="10">
        <v>127</v>
      </c>
      <c r="D313" s="146">
        <f t="shared" si="25"/>
        <v>125.33849567936001</v>
      </c>
      <c r="E313" s="146">
        <f t="shared" si="26"/>
        <v>1.6615043206399918</v>
      </c>
      <c r="F313" s="147">
        <f t="shared" si="27"/>
        <v>1.325613740323206E-2</v>
      </c>
    </row>
    <row r="314" spans="2:6">
      <c r="B314" s="148">
        <v>410</v>
      </c>
      <c r="C314" s="11">
        <f t="shared" ref="C314:C322" si="30">C$323-(B$323-B314)*((C$323-C$313)/(B$323-B$313))</f>
        <v>128.6</v>
      </c>
      <c r="D314" s="146">
        <f t="shared" si="25"/>
        <v>126.93786047160613</v>
      </c>
      <c r="E314" s="146">
        <f t="shared" si="26"/>
        <v>1.6621395283938654</v>
      </c>
      <c r="F314" s="147">
        <f t="shared" si="27"/>
        <v>1.3094119612687694E-2</v>
      </c>
    </row>
    <row r="315" spans="2:6">
      <c r="B315" s="148">
        <v>420</v>
      </c>
      <c r="C315" s="11">
        <f t="shared" si="30"/>
        <v>130.19999999999999</v>
      </c>
      <c r="D315" s="146">
        <f t="shared" si="25"/>
        <v>128.53667076103142</v>
      </c>
      <c r="E315" s="146">
        <f t="shared" si="26"/>
        <v>1.6633292389685721</v>
      </c>
      <c r="F315" s="147">
        <f t="shared" si="27"/>
        <v>1.2940503508612977E-2</v>
      </c>
    </row>
    <row r="316" spans="2:6">
      <c r="B316" s="148">
        <v>430</v>
      </c>
      <c r="C316" s="11">
        <f t="shared" si="30"/>
        <v>131.80000000000001</v>
      </c>
      <c r="D316" s="146">
        <f t="shared" si="25"/>
        <v>130.13435467077488</v>
      </c>
      <c r="E316" s="146">
        <f t="shared" si="26"/>
        <v>1.6656453292251285</v>
      </c>
      <c r="F316" s="147">
        <f t="shared" si="27"/>
        <v>1.2799428202022511E-2</v>
      </c>
    </row>
    <row r="317" spans="2:6">
      <c r="B317" s="148">
        <v>440</v>
      </c>
      <c r="C317" s="11">
        <f t="shared" si="30"/>
        <v>133.4</v>
      </c>
      <c r="D317" s="146">
        <f t="shared" si="25"/>
        <v>131.73021847836094</v>
      </c>
      <c r="E317" s="146">
        <f t="shared" si="26"/>
        <v>1.6697815216390666</v>
      </c>
      <c r="F317" s="147">
        <f t="shared" si="27"/>
        <v>1.2675766736949257E-2</v>
      </c>
    </row>
    <row r="318" spans="2:6">
      <c r="B318" s="148">
        <v>450</v>
      </c>
      <c r="C318" s="11">
        <f t="shared" si="30"/>
        <v>135</v>
      </c>
      <c r="D318" s="146">
        <f t="shared" si="25"/>
        <v>133.3234693233947</v>
      </c>
      <c r="E318" s="146">
        <f t="shared" si="26"/>
        <v>1.6765306766052959</v>
      </c>
      <c r="F318" s="147">
        <f t="shared" si="27"/>
        <v>1.2574910367346037E-2</v>
      </c>
    </row>
    <row r="319" spans="2:6">
      <c r="B319" s="148">
        <v>460</v>
      </c>
      <c r="C319" s="11">
        <f t="shared" si="30"/>
        <v>136.6</v>
      </c>
      <c r="D319" s="146">
        <f t="shared" si="25"/>
        <v>134.91323712414558</v>
      </c>
      <c r="E319" s="146">
        <f t="shared" si="26"/>
        <v>1.6867628758544129</v>
      </c>
      <c r="F319" s="147">
        <f t="shared" si="27"/>
        <v>1.250257507573016E-2</v>
      </c>
    </row>
    <row r="320" spans="2:6">
      <c r="B320" s="148">
        <v>470</v>
      </c>
      <c r="C320" s="11">
        <f t="shared" si="30"/>
        <v>138.19999999999999</v>
      </c>
      <c r="D320" s="146">
        <f t="shared" si="25"/>
        <v>136.49859566002507</v>
      </c>
      <c r="E320" s="146">
        <f t="shared" si="26"/>
        <v>1.7014043399749141</v>
      </c>
      <c r="F320" s="147">
        <f t="shared" si="27"/>
        <v>1.2464628897813634E-2</v>
      </c>
    </row>
    <row r="321" spans="2:6">
      <c r="B321" s="148">
        <v>480</v>
      </c>
      <c r="C321" s="11">
        <f t="shared" si="30"/>
        <v>139.80000000000001</v>
      </c>
      <c r="D321" s="146">
        <f t="shared" si="25"/>
        <v>138.07858277695684</v>
      </c>
      <c r="E321" s="146">
        <f t="shared" si="26"/>
        <v>1.7214172230431757</v>
      </c>
      <c r="F321" s="147">
        <f t="shared" si="27"/>
        <v>1.2466938669437599E-2</v>
      </c>
    </row>
    <row r="322" spans="2:6">
      <c r="B322" s="148">
        <v>490</v>
      </c>
      <c r="C322" s="11">
        <f t="shared" si="30"/>
        <v>141.4</v>
      </c>
      <c r="D322" s="146">
        <f t="shared" si="25"/>
        <v>139.65221967264631</v>
      </c>
      <c r="E322" s="146">
        <f t="shared" si="26"/>
        <v>1.7477803273536949</v>
      </c>
      <c r="F322" s="147">
        <f t="shared" si="27"/>
        <v>1.2515234855919877E-2</v>
      </c>
    </row>
    <row r="323" spans="2:6">
      <c r="B323" s="145">
        <v>500</v>
      </c>
      <c r="C323" s="10">
        <v>143</v>
      </c>
      <c r="D323" s="146">
        <f t="shared" si="25"/>
        <v>141.21852921875001</v>
      </c>
      <c r="E323" s="146">
        <f t="shared" si="26"/>
        <v>1.7814707812499933</v>
      </c>
      <c r="F323" s="147">
        <f t="shared" si="27"/>
        <v>1.2614993167719968E-2</v>
      </c>
    </row>
    <row r="324" spans="2:6">
      <c r="B324" s="148">
        <v>510</v>
      </c>
      <c r="C324" s="11">
        <f t="shared" ref="C324:C347" si="31">C$348-(B$348-B324)*((C$348-C$323)/(B$348-B$323))</f>
        <v>144.36000000000001</v>
      </c>
      <c r="D324" s="146">
        <f t="shared" ref="D324:D387" si="32">IF(B324&lt;5,0,IF(B324&lt;30,($N$15*B324^6)+($N$16*B324^5)+($N$17*B324^4)+($N$18*B324^3)+($N$19*B324^2)+($N$20*B324)+$N$21,IF(B324&lt;250,($N$6*B324^6)+($N$7*B324^5)+($N$8*B324^4)+($N$9*B324^3)+($N$10*B324^2)+($N$11*B324)+$N$12,IF(B324&lt;1000,(2.363443+6.066492*B324/100-2.085061*(B324/100)^2+0.4751229*(B324/100)^3-0.05086087*(B324/100)^4+0.001382764*(B324/100)^5+0.0001469133*(B324/100)^6-0.000008531221*(B324/100)^7)*10,IF(B324&lt;9000,(0.8759882+1.259865*(B324/1000)-0.02582505*(B324/1000)^2+0.0008687869*(B324/1000)^3-0.0000101455*(B324/1000)^4)*100,(0.095*B324)+205)))))</f>
        <v>142.77655327694629</v>
      </c>
      <c r="E324" s="146">
        <f t="shared" si="26"/>
        <v>1.5834467230537257</v>
      </c>
      <c r="F324" s="147">
        <f t="shared" si="27"/>
        <v>1.1090383446799468E-2</v>
      </c>
    </row>
    <row r="325" spans="2:6">
      <c r="B325" s="148">
        <v>520</v>
      </c>
      <c r="C325" s="11">
        <f t="shared" si="31"/>
        <v>145.72</v>
      </c>
      <c r="D325" s="146">
        <f t="shared" si="32"/>
        <v>144.32536896591347</v>
      </c>
      <c r="E325" s="146">
        <f t="shared" si="26"/>
        <v>1.3946310340865296</v>
      </c>
      <c r="F325" s="147">
        <f t="shared" si="27"/>
        <v>9.6631038886580978E-3</v>
      </c>
    </row>
    <row r="326" spans="2:6">
      <c r="B326" s="148">
        <v>530</v>
      </c>
      <c r="C326" s="11">
        <f t="shared" si="31"/>
        <v>147.07999999999998</v>
      </c>
      <c r="D326" s="146">
        <f t="shared" si="32"/>
        <v>145.86410383621507</v>
      </c>
      <c r="E326" s="146">
        <f t="shared" si="26"/>
        <v>1.2158961637849188</v>
      </c>
      <c r="F326" s="147">
        <f t="shared" si="27"/>
        <v>8.3358148564789403E-3</v>
      </c>
    </row>
    <row r="327" spans="2:6">
      <c r="B327" s="148">
        <v>540</v>
      </c>
      <c r="C327" s="11">
        <f t="shared" si="31"/>
        <v>148.44</v>
      </c>
      <c r="D327" s="146">
        <f t="shared" si="32"/>
        <v>147.39194991009498</v>
      </c>
      <c r="E327" s="146">
        <f t="shared" si="26"/>
        <v>1.0480500899050185</v>
      </c>
      <c r="F327" s="147">
        <f t="shared" si="27"/>
        <v>7.1106331827777147E-3</v>
      </c>
    </row>
    <row r="328" spans="2:6">
      <c r="B328" s="148">
        <v>550</v>
      </c>
      <c r="C328" s="11">
        <f t="shared" si="31"/>
        <v>149.80000000000001</v>
      </c>
      <c r="D328" s="146">
        <f t="shared" si="32"/>
        <v>148.90817654318818</v>
      </c>
      <c r="E328" s="146">
        <f t="shared" ref="E328:E391" si="33">C328-D328</f>
        <v>0.89182345681183506</v>
      </c>
      <c r="F328" s="147">
        <f t="shared" ref="F328:F391" si="34">C328/D328-1</f>
        <v>5.9890831888145257E-3</v>
      </c>
    </row>
    <row r="329" spans="2:6">
      <c r="B329" s="148">
        <v>560</v>
      </c>
      <c r="C329" s="11">
        <f t="shared" si="31"/>
        <v>151.16</v>
      </c>
      <c r="D329" s="146">
        <f t="shared" si="32"/>
        <v>150.41214206514474</v>
      </c>
      <c r="E329" s="146">
        <f t="shared" si="33"/>
        <v>0.74785793485526142</v>
      </c>
      <c r="F329" s="147">
        <f t="shared" si="34"/>
        <v>4.9720582699457339E-3</v>
      </c>
    </row>
    <row r="330" spans="2:6">
      <c r="B330" s="148">
        <v>570</v>
      </c>
      <c r="C330" s="11">
        <f t="shared" si="31"/>
        <v>152.52000000000001</v>
      </c>
      <c r="D330" s="146">
        <f t="shared" si="32"/>
        <v>151.90330415617456</v>
      </c>
      <c r="E330" s="146">
        <f t="shared" si="33"/>
        <v>0.61669584382545395</v>
      </c>
      <c r="F330" s="147">
        <f t="shared" si="34"/>
        <v>4.0597921635161516E-3</v>
      </c>
    </row>
    <row r="331" spans="2:6">
      <c r="B331" s="148">
        <v>580</v>
      </c>
      <c r="C331" s="11">
        <f t="shared" si="31"/>
        <v>153.88</v>
      </c>
      <c r="D331" s="146">
        <f t="shared" si="32"/>
        <v>153.38122891651227</v>
      </c>
      <c r="E331" s="146">
        <f t="shared" si="33"/>
        <v>0.49877108348772481</v>
      </c>
      <c r="F331" s="147">
        <f t="shared" si="34"/>
        <v>3.2518391397111657E-3</v>
      </c>
    </row>
    <row r="332" spans="2:6">
      <c r="B332" s="148">
        <v>590</v>
      </c>
      <c r="C332" s="11">
        <f t="shared" si="31"/>
        <v>155.24</v>
      </c>
      <c r="D332" s="146">
        <f t="shared" si="32"/>
        <v>154.84559858580783</v>
      </c>
      <c r="E332" s="146">
        <f t="shared" si="33"/>
        <v>0.39440141419217412</v>
      </c>
      <c r="F332" s="147">
        <f t="shared" si="34"/>
        <v>2.5470624789738494E-3</v>
      </c>
    </row>
    <row r="333" spans="2:6">
      <c r="B333" s="148">
        <v>600</v>
      </c>
      <c r="C333" s="11">
        <f t="shared" si="31"/>
        <v>156.6</v>
      </c>
      <c r="D333" s="146">
        <f t="shared" si="32"/>
        <v>156.29621786944</v>
      </c>
      <c r="E333" s="146">
        <f t="shared" si="33"/>
        <v>0.30378213055999481</v>
      </c>
      <c r="F333" s="147">
        <f t="shared" si="34"/>
        <v>1.9436307205702441E-3</v>
      </c>
    </row>
    <row r="334" spans="2:6">
      <c r="B334" s="148">
        <v>610</v>
      </c>
      <c r="C334" s="11">
        <f t="shared" si="31"/>
        <v>157.96</v>
      </c>
      <c r="D334" s="146">
        <f t="shared" si="32"/>
        <v>157.73301882876348</v>
      </c>
      <c r="E334" s="146">
        <f t="shared" si="33"/>
        <v>0.22698117123653105</v>
      </c>
      <c r="F334" s="147">
        <f t="shared" si="34"/>
        <v>1.4390212836981053E-3</v>
      </c>
    </row>
    <row r="335" spans="2:6">
      <c r="B335" s="148">
        <v>620</v>
      </c>
      <c r="C335" s="11">
        <f t="shared" si="31"/>
        <v>159.32</v>
      </c>
      <c r="D335" s="146">
        <f t="shared" si="32"/>
        <v>159.15606429228484</v>
      </c>
      <c r="E335" s="146">
        <f t="shared" si="33"/>
        <v>0.16393570771515442</v>
      </c>
      <c r="F335" s="147">
        <f t="shared" si="34"/>
        <v>1.0300311737672097E-3</v>
      </c>
    </row>
    <row r="336" spans="2:6">
      <c r="B336" s="148">
        <v>630</v>
      </c>
      <c r="C336" s="11">
        <f t="shared" si="31"/>
        <v>160.68</v>
      </c>
      <c r="D336" s="146">
        <f t="shared" si="32"/>
        <v>160.56554974477507</v>
      </c>
      <c r="E336" s="146">
        <f t="shared" si="33"/>
        <v>0.11445025522493779</v>
      </c>
      <c r="F336" s="147">
        <f t="shared" si="34"/>
        <v>7.1279459016504454E-4</v>
      </c>
    </row>
    <row r="337" spans="2:6">
      <c r="B337" s="148">
        <v>640</v>
      </c>
      <c r="C337" s="11">
        <f t="shared" si="31"/>
        <v>162.04</v>
      </c>
      <c r="D337" s="146">
        <f t="shared" si="32"/>
        <v>161.96180365131607</v>
      </c>
      <c r="E337" s="146">
        <f t="shared" si="33"/>
        <v>7.8196348683917449E-2</v>
      </c>
      <c r="F337" s="147">
        <f t="shared" si="34"/>
        <v>4.8280734667693892E-4</v>
      </c>
    </row>
    <row r="338" spans="2:6">
      <c r="B338" s="148">
        <v>650</v>
      </c>
      <c r="C338" s="11">
        <f t="shared" si="31"/>
        <v>163.4</v>
      </c>
      <c r="D338" s="146">
        <f t="shared" si="32"/>
        <v>163.34528617329258</v>
      </c>
      <c r="E338" s="146">
        <f t="shared" si="33"/>
        <v>5.4713826707427415E-2</v>
      </c>
      <c r="F338" s="147">
        <f t="shared" si="34"/>
        <v>3.3495810004202653E-4</v>
      </c>
    </row>
    <row r="339" spans="2:6">
      <c r="B339" s="148">
        <v>660</v>
      </c>
      <c r="C339" s="11">
        <f t="shared" si="31"/>
        <v>164.76</v>
      </c>
      <c r="D339" s="146">
        <f t="shared" si="32"/>
        <v>164.71658623331882</v>
      </c>
      <c r="E339" s="146">
        <f t="shared" si="33"/>
        <v>4.3413766681169363E-2</v>
      </c>
      <c r="F339" s="147">
        <f t="shared" si="34"/>
        <v>2.6356645480540841E-4</v>
      </c>
    </row>
    <row r="340" spans="2:6">
      <c r="B340" s="148">
        <v>670</v>
      </c>
      <c r="C340" s="11">
        <f t="shared" si="31"/>
        <v>166.12</v>
      </c>
      <c r="D340" s="146">
        <f t="shared" si="32"/>
        <v>166.07641688611892</v>
      </c>
      <c r="E340" s="146">
        <f t="shared" si="33"/>
        <v>4.3583113881084046E-2</v>
      </c>
      <c r="F340" s="147">
        <f t="shared" si="34"/>
        <v>2.6242807195786533E-4</v>
      </c>
    </row>
    <row r="341" spans="2:6">
      <c r="B341" s="148">
        <v>680</v>
      </c>
      <c r="C341" s="11">
        <f t="shared" si="31"/>
        <v>167.48</v>
      </c>
      <c r="D341" s="146">
        <f t="shared" si="32"/>
        <v>167.425608952348</v>
      </c>
      <c r="E341" s="146">
        <f t="shared" si="33"/>
        <v>5.4391047651989766E-2</v>
      </c>
      <c r="F341" s="147">
        <f t="shared" si="34"/>
        <v>3.2486695429900792E-4</v>
      </c>
    </row>
    <row r="342" spans="2:6">
      <c r="B342" s="148">
        <v>690</v>
      </c>
      <c r="C342" s="11">
        <f t="shared" si="31"/>
        <v>168.84</v>
      </c>
      <c r="D342" s="146">
        <f t="shared" si="32"/>
        <v>168.76510287236664</v>
      </c>
      <c r="E342" s="146">
        <f t="shared" si="33"/>
        <v>7.4897127633363425E-2</v>
      </c>
      <c r="F342" s="147">
        <f t="shared" si="34"/>
        <v>4.4379511142178529E-4</v>
      </c>
    </row>
    <row r="343" spans="2:6">
      <c r="B343" s="148">
        <v>700</v>
      </c>
      <c r="C343" s="11">
        <f t="shared" si="31"/>
        <v>170.2</v>
      </c>
      <c r="D343" s="146">
        <f t="shared" si="32"/>
        <v>170.09593873696997</v>
      </c>
      <c r="E343" s="146">
        <f t="shared" si="33"/>
        <v>0.10406126303001884</v>
      </c>
      <c r="F343" s="147">
        <f t="shared" si="34"/>
        <v>6.1177982145088627E-4</v>
      </c>
    </row>
    <row r="344" spans="2:6">
      <c r="B344" s="148">
        <v>710</v>
      </c>
      <c r="C344" s="11">
        <f t="shared" si="31"/>
        <v>171.56</v>
      </c>
      <c r="D344" s="146">
        <f t="shared" si="32"/>
        <v>171.41924445206811</v>
      </c>
      <c r="E344" s="146">
        <f t="shared" si="33"/>
        <v>0.14075554793188871</v>
      </c>
      <c r="F344" s="147">
        <f t="shared" si="34"/>
        <v>8.2111870450596314E-4</v>
      </c>
    </row>
    <row r="345" spans="2:6">
      <c r="B345" s="148">
        <v>720</v>
      </c>
      <c r="C345" s="11">
        <f t="shared" si="31"/>
        <v>172.92</v>
      </c>
      <c r="D345" s="146">
        <f t="shared" si="32"/>
        <v>172.73622199433009</v>
      </c>
      <c r="E345" s="146">
        <f t="shared" si="33"/>
        <v>0.18377800566989322</v>
      </c>
      <c r="F345" s="147">
        <f t="shared" si="34"/>
        <v>1.0639228040771886E-3</v>
      </c>
    </row>
    <row r="346" spans="2:6">
      <c r="B346" s="148">
        <v>730</v>
      </c>
      <c r="C346" s="11">
        <f t="shared" si="31"/>
        <v>174.28</v>
      </c>
      <c r="D346" s="146">
        <f t="shared" si="32"/>
        <v>174.04813171478335</v>
      </c>
      <c r="E346" s="146">
        <f t="shared" si="33"/>
        <v>0.23186828521664893</v>
      </c>
      <c r="F346" s="147">
        <f t="shared" si="34"/>
        <v>1.3322078377526747E-3</v>
      </c>
    </row>
    <row r="347" spans="2:6">
      <c r="B347" s="148">
        <v>740</v>
      </c>
      <c r="C347" s="11">
        <f t="shared" si="31"/>
        <v>175.64</v>
      </c>
      <c r="D347" s="146">
        <f t="shared" si="32"/>
        <v>175.35627464738297</v>
      </c>
      <c r="E347" s="146">
        <f t="shared" si="33"/>
        <v>0.28372535261701159</v>
      </c>
      <c r="F347" s="147">
        <f t="shared" si="34"/>
        <v>1.6179937284110935E-3</v>
      </c>
    </row>
    <row r="348" spans="2:6">
      <c r="B348" s="145">
        <v>750</v>
      </c>
      <c r="C348" s="10">
        <v>177</v>
      </c>
      <c r="D348" s="146">
        <f t="shared" si="32"/>
        <v>176.66197277954112</v>
      </c>
      <c r="E348" s="146">
        <f t="shared" si="33"/>
        <v>0.33802722045888345</v>
      </c>
      <c r="F348" s="147">
        <f t="shared" si="34"/>
        <v>1.9134124630246774E-3</v>
      </c>
    </row>
    <row r="349" spans="2:6">
      <c r="B349" s="148">
        <v>760</v>
      </c>
      <c r="C349" s="11">
        <f t="shared" ref="C349:C372" si="35">C$373-(B$373-B349)*((C$373-C$348)/(B$373-B$348))</f>
        <v>178.24</v>
      </c>
      <c r="D349" s="146">
        <f t="shared" si="32"/>
        <v>177.96654724162906</v>
      </c>
      <c r="E349" s="146">
        <f t="shared" si="33"/>
        <v>0.27345275837095073</v>
      </c>
      <c r="F349" s="147">
        <f t="shared" si="34"/>
        <v>1.5365402240437032E-3</v>
      </c>
    </row>
    <row r="350" spans="2:6">
      <c r="B350" s="148">
        <v>770</v>
      </c>
      <c r="C350" s="11">
        <f t="shared" si="35"/>
        <v>179.48</v>
      </c>
      <c r="D350" s="146">
        <f t="shared" si="32"/>
        <v>179.27129437245264</v>
      </c>
      <c r="E350" s="146">
        <f t="shared" si="33"/>
        <v>0.20870562754734578</v>
      </c>
      <c r="F350" s="147">
        <f t="shared" si="34"/>
        <v>1.1641887691944408E-3</v>
      </c>
    </row>
    <row r="351" spans="2:6">
      <c r="B351" s="148">
        <v>780</v>
      </c>
      <c r="C351" s="11">
        <f t="shared" si="35"/>
        <v>180.72</v>
      </c>
      <c r="D351" s="146">
        <f t="shared" si="32"/>
        <v>180.57745961769393</v>
      </c>
      <c r="E351" s="146">
        <f t="shared" si="33"/>
        <v>0.14254038230606625</v>
      </c>
      <c r="F351" s="147">
        <f t="shared" si="34"/>
        <v>7.893586641867234E-4</v>
      </c>
    </row>
    <row r="352" spans="2:6">
      <c r="B352" s="148">
        <v>790</v>
      </c>
      <c r="C352" s="11">
        <f t="shared" si="35"/>
        <v>181.96</v>
      </c>
      <c r="D352" s="146">
        <f t="shared" si="32"/>
        <v>181.88620921833854</v>
      </c>
      <c r="E352" s="146">
        <f t="shared" si="33"/>
        <v>7.3790781661472238E-2</v>
      </c>
      <c r="F352" s="147">
        <f t="shared" si="34"/>
        <v>4.0569750713137509E-4</v>
      </c>
    </row>
    <row r="353" spans="2:6">
      <c r="B353" s="148">
        <v>800</v>
      </c>
      <c r="C353" s="11">
        <f t="shared" si="35"/>
        <v>183.2</v>
      </c>
      <c r="D353" s="146">
        <f t="shared" si="32"/>
        <v>183.19859964608017</v>
      </c>
      <c r="E353" s="146">
        <f t="shared" si="33"/>
        <v>1.4003539198199633E-3</v>
      </c>
      <c r="F353" s="147">
        <f t="shared" si="34"/>
        <v>7.6439117031590342E-6</v>
      </c>
    </row>
    <row r="354" spans="2:6">
      <c r="B354" s="148">
        <v>810</v>
      </c>
      <c r="C354" s="11">
        <f t="shared" si="35"/>
        <v>184.44</v>
      </c>
      <c r="D354" s="146">
        <f t="shared" si="32"/>
        <v>184.51554474270225</v>
      </c>
      <c r="E354" s="146">
        <f t="shared" si="33"/>
        <v>-7.5544742702248868E-2</v>
      </c>
      <c r="F354" s="147">
        <f t="shared" si="34"/>
        <v>-4.0942210482908248E-4</v>
      </c>
    </row>
    <row r="355" spans="2:6">
      <c r="B355" s="148">
        <v>820</v>
      </c>
      <c r="C355" s="11">
        <f t="shared" si="35"/>
        <v>185.68</v>
      </c>
      <c r="D355" s="146">
        <f t="shared" si="32"/>
        <v>185.83778052045287</v>
      </c>
      <c r="E355" s="146">
        <f t="shared" si="33"/>
        <v>-0.15778052045286017</v>
      </c>
      <c r="F355" s="147">
        <f t="shared" si="34"/>
        <v>-8.4902284137799988E-4</v>
      </c>
    </row>
    <row r="356" spans="2:6">
      <c r="B356" s="148">
        <v>830</v>
      </c>
      <c r="C356" s="11">
        <f t="shared" si="35"/>
        <v>186.92000000000002</v>
      </c>
      <c r="D356" s="146">
        <f t="shared" si="32"/>
        <v>187.16582758039706</v>
      </c>
      <c r="E356" s="146">
        <f t="shared" si="33"/>
        <v>-0.245827580397048</v>
      </c>
      <c r="F356" s="147">
        <f t="shared" si="34"/>
        <v>-1.3134212776713117E-3</v>
      </c>
    </row>
    <row r="357" spans="2:6">
      <c r="B357" s="148">
        <v>840</v>
      </c>
      <c r="C357" s="11">
        <f t="shared" si="35"/>
        <v>188.16</v>
      </c>
      <c r="D357" s="146">
        <f t="shared" si="32"/>
        <v>188.49995110577157</v>
      </c>
      <c r="E357" s="146">
        <f t="shared" si="33"/>
        <v>-0.33995110577157561</v>
      </c>
      <c r="F357" s="147">
        <f t="shared" si="34"/>
        <v>-1.8034546098147919E-3</v>
      </c>
    </row>
    <row r="358" spans="2:6">
      <c r="B358" s="148">
        <v>850</v>
      </c>
      <c r="C358" s="11">
        <f t="shared" si="35"/>
        <v>189.4</v>
      </c>
      <c r="D358" s="146">
        <f t="shared" si="32"/>
        <v>189.84011838731803</v>
      </c>
      <c r="E358" s="146">
        <f t="shared" si="33"/>
        <v>-0.440118387318023</v>
      </c>
      <c r="F358" s="147">
        <f t="shared" si="34"/>
        <v>-2.3183634263231889E-3</v>
      </c>
    </row>
    <row r="359" spans="2:6">
      <c r="B359" s="148">
        <v>860</v>
      </c>
      <c r="C359" s="11">
        <f t="shared" si="35"/>
        <v>190.64</v>
      </c>
      <c r="D359" s="146">
        <f t="shared" si="32"/>
        <v>191.18595383762394</v>
      </c>
      <c r="E359" s="146">
        <f t="shared" si="33"/>
        <v>-0.545953837623955</v>
      </c>
      <c r="F359" s="147">
        <f t="shared" si="34"/>
        <v>-2.8556168832760687E-3</v>
      </c>
    </row>
    <row r="360" spans="2:6">
      <c r="B360" s="148">
        <v>870</v>
      </c>
      <c r="C360" s="11">
        <f t="shared" si="35"/>
        <v>191.88</v>
      </c>
      <c r="D360" s="146">
        <f t="shared" si="32"/>
        <v>192.53669145145636</v>
      </c>
      <c r="E360" s="146">
        <f t="shared" si="33"/>
        <v>-0.65669145145636776</v>
      </c>
      <c r="F360" s="147">
        <f t="shared" si="34"/>
        <v>-3.4107340606397418E-3</v>
      </c>
    </row>
    <row r="361" spans="2:6">
      <c r="B361" s="148">
        <v>880</v>
      </c>
      <c r="C361" s="11">
        <f t="shared" si="35"/>
        <v>193.12</v>
      </c>
      <c r="D361" s="146">
        <f t="shared" si="32"/>
        <v>193.89112466909546</v>
      </c>
      <c r="E361" s="146">
        <f t="shared" si="33"/>
        <v>-0.77112466909545674</v>
      </c>
      <c r="F361" s="147">
        <f t="shared" si="34"/>
        <v>-3.9771014295342244E-3</v>
      </c>
    </row>
    <row r="362" spans="2:6">
      <c r="B362" s="148">
        <v>890</v>
      </c>
      <c r="C362" s="11">
        <f t="shared" si="35"/>
        <v>194.36</v>
      </c>
      <c r="D362" s="146">
        <f t="shared" si="32"/>
        <v>195.24755359967045</v>
      </c>
      <c r="E362" s="146">
        <f t="shared" si="33"/>
        <v>-0.88755359967044001</v>
      </c>
      <c r="F362" s="147">
        <f t="shared" si="34"/>
        <v>-4.5457860203987899E-3</v>
      </c>
    </row>
    <row r="363" spans="2:6">
      <c r="B363" s="148">
        <v>900</v>
      </c>
      <c r="C363" s="11">
        <f t="shared" si="35"/>
        <v>195.6</v>
      </c>
      <c r="D363" s="146">
        <f t="shared" si="32"/>
        <v>196.60372956151036</v>
      </c>
      <c r="E363" s="146">
        <f t="shared" si="33"/>
        <v>-1.0037295615103687</v>
      </c>
      <c r="F363" s="147">
        <f t="shared" si="34"/>
        <v>-5.105343442614263E-3</v>
      </c>
    </row>
    <row r="364" spans="2:6">
      <c r="B364" s="148">
        <v>910</v>
      </c>
      <c r="C364" s="11">
        <f t="shared" si="35"/>
        <v>196.84</v>
      </c>
      <c r="D364" s="146">
        <f t="shared" si="32"/>
        <v>197.95679689648793</v>
      </c>
      <c r="E364" s="146">
        <f t="shared" si="33"/>
        <v>-1.1167968964879265</v>
      </c>
      <c r="F364" s="147">
        <f t="shared" si="34"/>
        <v>-5.6416193532971004E-3</v>
      </c>
    </row>
    <row r="365" spans="2:6">
      <c r="B365" s="148">
        <v>920</v>
      </c>
      <c r="C365" s="11">
        <f t="shared" si="35"/>
        <v>198.08</v>
      </c>
      <c r="D365" s="146">
        <f t="shared" si="32"/>
        <v>199.30323201539119</v>
      </c>
      <c r="E365" s="146">
        <f t="shared" si="33"/>
        <v>-1.2232320153911758</v>
      </c>
      <c r="F365" s="147">
        <f t="shared" si="34"/>
        <v>-6.1375422918215072E-3</v>
      </c>
    </row>
    <row r="366" spans="2:6">
      <c r="B366" s="148">
        <v>930</v>
      </c>
      <c r="C366" s="11">
        <f t="shared" si="35"/>
        <v>199.32</v>
      </c>
      <c r="D366" s="146">
        <f t="shared" si="32"/>
        <v>200.63877963129704</v>
      </c>
      <c r="E366" s="146">
        <f t="shared" si="33"/>
        <v>-1.3187796312970477</v>
      </c>
      <c r="F366" s="147">
        <f t="shared" si="34"/>
        <v>-6.5729049674270179E-3</v>
      </c>
    </row>
    <row r="367" spans="2:6">
      <c r="B367" s="148">
        <v>940</v>
      </c>
      <c r="C367" s="11">
        <f t="shared" si="35"/>
        <v>200.56</v>
      </c>
      <c r="D367" s="146">
        <f t="shared" si="32"/>
        <v>201.95838613796502</v>
      </c>
      <c r="E367" s="146">
        <f t="shared" si="33"/>
        <v>-1.3983861379650193</v>
      </c>
      <c r="F367" s="147">
        <f t="shared" si="34"/>
        <v>-6.9241300879169243E-3</v>
      </c>
    </row>
    <row r="368" spans="2:6">
      <c r="B368" s="148">
        <v>950</v>
      </c>
      <c r="C368" s="11">
        <f t="shared" si="35"/>
        <v>201.8</v>
      </c>
      <c r="D368" s="146">
        <f t="shared" si="32"/>
        <v>203.25613009025602</v>
      </c>
      <c r="E368" s="146">
        <f t="shared" si="33"/>
        <v>-1.4561300902560106</v>
      </c>
      <c r="F368" s="147">
        <f t="shared" si="34"/>
        <v>-7.1640156171890457E-3</v>
      </c>
    </row>
    <row r="369" spans="2:6">
      <c r="B369" s="148">
        <v>960</v>
      </c>
      <c r="C369" s="11">
        <f t="shared" si="35"/>
        <v>203.04</v>
      </c>
      <c r="D369" s="146">
        <f t="shared" si="32"/>
        <v>204.52514974356248</v>
      </c>
      <c r="E369" s="146">
        <f t="shared" si="33"/>
        <v>-1.4851497435624879</v>
      </c>
      <c r="F369" s="147">
        <f t="shared" si="34"/>
        <v>-7.261452908967958E-3</v>
      </c>
    </row>
    <row r="370" spans="2:6">
      <c r="B370" s="148">
        <v>970</v>
      </c>
      <c r="C370" s="11">
        <f t="shared" si="35"/>
        <v>204.28</v>
      </c>
      <c r="D370" s="146">
        <f t="shared" si="32"/>
        <v>205.75756760926978</v>
      </c>
      <c r="E370" s="146">
        <f t="shared" si="33"/>
        <v>-1.4775676092697836</v>
      </c>
      <c r="F370" s="147">
        <f t="shared" si="34"/>
        <v>-7.1811094310546553E-3</v>
      </c>
    </row>
    <row r="371" spans="2:6">
      <c r="B371" s="148">
        <v>980</v>
      </c>
      <c r="C371" s="11">
        <f t="shared" si="35"/>
        <v>205.52</v>
      </c>
      <c r="D371" s="146">
        <f t="shared" si="32"/>
        <v>206.94441198324427</v>
      </c>
      <c r="E371" s="146">
        <f t="shared" si="33"/>
        <v>-1.424411983244255</v>
      </c>
      <c r="F371" s="147">
        <f t="shared" si="34"/>
        <v>-6.8830656966933912E-3</v>
      </c>
    </row>
    <row r="372" spans="2:6">
      <c r="B372" s="148">
        <v>990</v>
      </c>
      <c r="C372" s="11">
        <f t="shared" si="35"/>
        <v>206.76</v>
      </c>
      <c r="D372" s="146">
        <f t="shared" si="32"/>
        <v>208.07553540435151</v>
      </c>
      <c r="E372" s="146">
        <f t="shared" si="33"/>
        <v>-1.3155354043515217</v>
      </c>
      <c r="F372" s="147">
        <f t="shared" si="34"/>
        <v>-6.322393460601039E-3</v>
      </c>
    </row>
    <row r="373" spans="2:6">
      <c r="B373" s="145">
        <v>1000</v>
      </c>
      <c r="C373" s="10">
        <v>208</v>
      </c>
      <c r="D373" s="146">
        <f t="shared" si="32"/>
        <v>211.08867914000001</v>
      </c>
      <c r="E373" s="146">
        <f t="shared" si="33"/>
        <v>-3.0886791400000106</v>
      </c>
      <c r="F373" s="147">
        <f t="shared" si="34"/>
        <v>-1.4632140163004737E-2</v>
      </c>
    </row>
    <row r="374" spans="2:6">
      <c r="B374" s="148">
        <v>1010</v>
      </c>
      <c r="C374" s="11">
        <f t="shared" ref="C374:C397" si="36">C$398-(B$398-B374)*((C$398-C$373)/(B$398-B$373))</f>
        <v>209.24</v>
      </c>
      <c r="D374" s="146">
        <f t="shared" si="32"/>
        <v>212.29922710588735</v>
      </c>
      <c r="E374" s="146">
        <f t="shared" si="33"/>
        <v>-3.059227105887345</v>
      </c>
      <c r="F374" s="147">
        <f t="shared" si="34"/>
        <v>-1.4409977594320278E-2</v>
      </c>
    </row>
    <row r="375" spans="2:6">
      <c r="B375" s="148">
        <v>1020</v>
      </c>
      <c r="C375" s="11">
        <f t="shared" si="36"/>
        <v>210.48</v>
      </c>
      <c r="D375" s="146">
        <f t="shared" si="32"/>
        <v>213.50930997730958</v>
      </c>
      <c r="E375" s="146">
        <f t="shared" si="33"/>
        <v>-3.0293099773095946</v>
      </c>
      <c r="F375" s="147">
        <f t="shared" si="34"/>
        <v>-1.4188186817856052E-2</v>
      </c>
    </row>
    <row r="376" spans="2:6">
      <c r="B376" s="148">
        <v>1030</v>
      </c>
      <c r="C376" s="11">
        <f t="shared" si="36"/>
        <v>211.72</v>
      </c>
      <c r="D376" s="146">
        <f t="shared" si="32"/>
        <v>214.71892825082443</v>
      </c>
      <c r="E376" s="146">
        <f t="shared" si="33"/>
        <v>-2.9989282508244344</v>
      </c>
      <c r="F376" s="147">
        <f t="shared" si="34"/>
        <v>-1.3966762386785181E-2</v>
      </c>
    </row>
    <row r="377" spans="2:6">
      <c r="B377" s="148">
        <v>1040</v>
      </c>
      <c r="C377" s="11">
        <f t="shared" si="36"/>
        <v>212.96</v>
      </c>
      <c r="D377" s="146">
        <f t="shared" si="32"/>
        <v>215.92808242274609</v>
      </c>
      <c r="E377" s="146">
        <f t="shared" si="33"/>
        <v>-2.9680824227460789</v>
      </c>
      <c r="F377" s="147">
        <f t="shared" si="34"/>
        <v>-1.3745698982011723E-2</v>
      </c>
    </row>
    <row r="378" spans="2:6">
      <c r="B378" s="148">
        <v>1050</v>
      </c>
      <c r="C378" s="11">
        <f t="shared" si="36"/>
        <v>214.2</v>
      </c>
      <c r="D378" s="146">
        <f t="shared" si="32"/>
        <v>217.1367729891453</v>
      </c>
      <c r="E378" s="146">
        <f t="shared" si="33"/>
        <v>-2.9367729891453109</v>
      </c>
      <c r="F378" s="147">
        <f t="shared" si="34"/>
        <v>-1.3524991408489395E-2</v>
      </c>
    </row>
    <row r="379" spans="2:6">
      <c r="B379" s="148">
        <v>1060</v>
      </c>
      <c r="C379" s="11">
        <f t="shared" si="36"/>
        <v>215.44</v>
      </c>
      <c r="D379" s="146">
        <f t="shared" si="32"/>
        <v>218.34500044584934</v>
      </c>
      <c r="E379" s="146">
        <f t="shared" si="33"/>
        <v>-2.905000445849339</v>
      </c>
      <c r="F379" s="147">
        <f t="shared" si="34"/>
        <v>-1.3304634591666753E-2</v>
      </c>
    </row>
    <row r="380" spans="2:6">
      <c r="B380" s="148">
        <v>1070</v>
      </c>
      <c r="C380" s="11">
        <f t="shared" si="36"/>
        <v>216.68</v>
      </c>
      <c r="D380" s="146">
        <f t="shared" si="32"/>
        <v>219.55276528844169</v>
      </c>
      <c r="E380" s="146">
        <f t="shared" si="33"/>
        <v>-2.8727652884416841</v>
      </c>
      <c r="F380" s="147">
        <f t="shared" si="34"/>
        <v>-1.3084623574053045E-2</v>
      </c>
    </row>
    <row r="381" spans="2:6">
      <c r="B381" s="148">
        <v>1080</v>
      </c>
      <c r="C381" s="11">
        <f t="shared" si="36"/>
        <v>217.92000000000002</v>
      </c>
      <c r="D381" s="146">
        <f t="shared" si="32"/>
        <v>220.76006801226291</v>
      </c>
      <c r="E381" s="146">
        <f t="shared" si="33"/>
        <v>-2.8400680122628899</v>
      </c>
      <c r="F381" s="147">
        <f t="shared" si="34"/>
        <v>-1.2864953511905641E-2</v>
      </c>
    </row>
    <row r="382" spans="2:6">
      <c r="B382" s="148">
        <v>1090</v>
      </c>
      <c r="C382" s="11">
        <f t="shared" si="36"/>
        <v>219.16</v>
      </c>
      <c r="D382" s="146">
        <f t="shared" si="32"/>
        <v>221.96690911240955</v>
      </c>
      <c r="E382" s="146">
        <f t="shared" si="33"/>
        <v>-2.8069091124095564</v>
      </c>
      <c r="F382" s="147">
        <f t="shared" si="34"/>
        <v>-1.2645619672020825E-2</v>
      </c>
    </row>
    <row r="383" spans="2:6">
      <c r="B383" s="148">
        <v>1100</v>
      </c>
      <c r="C383" s="11">
        <f t="shared" si="36"/>
        <v>220.4</v>
      </c>
      <c r="D383" s="146">
        <f t="shared" si="32"/>
        <v>223.17328908373503</v>
      </c>
      <c r="E383" s="146">
        <f t="shared" si="33"/>
        <v>-2.7732890837350226</v>
      </c>
      <c r="F383" s="147">
        <f t="shared" si="34"/>
        <v>-1.2426617428640707E-2</v>
      </c>
    </row>
    <row r="384" spans="2:6">
      <c r="B384" s="148">
        <v>1110</v>
      </c>
      <c r="C384" s="11">
        <f t="shared" si="36"/>
        <v>221.64</v>
      </c>
      <c r="D384" s="146">
        <f t="shared" si="32"/>
        <v>224.3792084208489</v>
      </c>
      <c r="E384" s="146">
        <f t="shared" si="33"/>
        <v>-2.7392084208489109</v>
      </c>
      <c r="F384" s="147">
        <f t="shared" si="34"/>
        <v>-1.2207942260457627E-2</v>
      </c>
    </row>
    <row r="385" spans="2:19">
      <c r="B385" s="148">
        <v>1120</v>
      </c>
      <c r="C385" s="11">
        <f t="shared" si="36"/>
        <v>222.88</v>
      </c>
      <c r="D385" s="146">
        <f t="shared" si="32"/>
        <v>225.58466761811769</v>
      </c>
      <c r="E385" s="146">
        <f t="shared" si="33"/>
        <v>-2.7046676181176963</v>
      </c>
      <c r="F385" s="147">
        <f t="shared" si="34"/>
        <v>-1.1989589747723017E-2</v>
      </c>
    </row>
    <row r="386" spans="2:19">
      <c r="B386" s="148">
        <v>1130</v>
      </c>
      <c r="C386" s="11">
        <f t="shared" si="36"/>
        <v>224.12</v>
      </c>
      <c r="D386" s="146">
        <f t="shared" si="32"/>
        <v>226.78966716966386</v>
      </c>
      <c r="E386" s="146">
        <f t="shared" si="33"/>
        <v>-2.6696671696638532</v>
      </c>
      <c r="F386" s="147">
        <f t="shared" si="34"/>
        <v>-1.1771555569445979E-2</v>
      </c>
    </row>
    <row r="387" spans="2:19">
      <c r="B387" s="148">
        <v>1140</v>
      </c>
      <c r="C387" s="11">
        <f t="shared" si="36"/>
        <v>225.36</v>
      </c>
      <c r="D387" s="146">
        <f t="shared" si="32"/>
        <v>227.99420756936706</v>
      </c>
      <c r="E387" s="146">
        <f t="shared" si="33"/>
        <v>-2.6342075693670495</v>
      </c>
      <c r="F387" s="147">
        <f t="shared" si="34"/>
        <v>-1.1553835500691778E-2</v>
      </c>
    </row>
    <row r="388" spans="2:19">
      <c r="B388" s="148">
        <v>1150</v>
      </c>
      <c r="C388" s="11">
        <f t="shared" si="36"/>
        <v>226.6</v>
      </c>
      <c r="D388" s="146">
        <f t="shared" ref="D388:D441" si="37">IF(B388&lt;5,0,IF(B388&lt;30,($N$15*B388^6)+($N$16*B388^5)+($N$17*B388^4)+($N$18*B388^3)+($N$19*B388^2)+($N$20*B388)+$N$21,IF(B388&lt;250,($N$6*B388^6)+($N$7*B388^5)+($N$8*B388^4)+($N$9*B388^3)+($N$10*B388^2)+($N$11*B388)+$N$12,IF(B388&lt;1000,(2.363443+6.066492*B388/100-2.085061*(B388/100)^2+0.4751229*(B388/100)^3-0.05086087*(B388/100)^4+0.001382764*(B388/100)^5+0.0001469133*(B388/100)^6-0.000008531221*(B388/100)^7)*10,IF(B388&lt;9000,(0.8759882+1.259865*(B388/1000)-0.02582505*(B388/1000)^2+0.0008687869*(B388/1000)^3-0.0000101455*(B388/1000)^4)*100,(0.095*B388)+205)))))</f>
        <v>229.19828931086278</v>
      </c>
      <c r="E388" s="146">
        <f t="shared" si="33"/>
        <v>-2.598289310862782</v>
      </c>
      <c r="F388" s="147">
        <f t="shared" si="34"/>
        <v>-1.1336425409958939E-2</v>
      </c>
    </row>
    <row r="389" spans="2:19">
      <c r="B389" s="148">
        <v>1160</v>
      </c>
      <c r="C389" s="11">
        <f t="shared" si="36"/>
        <v>227.84</v>
      </c>
      <c r="D389" s="146">
        <f t="shared" si="37"/>
        <v>230.40191288754355</v>
      </c>
      <c r="E389" s="146">
        <f t="shared" si="33"/>
        <v>-2.5619128875435422</v>
      </c>
      <c r="F389" s="147">
        <f t="shared" si="34"/>
        <v>-1.111932125665116E-2</v>
      </c>
    </row>
    <row r="390" spans="2:19">
      <c r="B390" s="148">
        <v>1170</v>
      </c>
      <c r="C390" s="11">
        <f t="shared" si="36"/>
        <v>229.08</v>
      </c>
      <c r="D390" s="146">
        <f t="shared" si="37"/>
        <v>231.60507879255809</v>
      </c>
      <c r="E390" s="146">
        <f t="shared" si="33"/>
        <v>-2.5250787925580767</v>
      </c>
      <c r="F390" s="147">
        <f t="shared" si="34"/>
        <v>-1.0902519088623719E-2</v>
      </c>
    </row>
    <row r="391" spans="2:19">
      <c r="B391" s="148">
        <v>1180</v>
      </c>
      <c r="C391" s="11">
        <f t="shared" si="36"/>
        <v>230.32</v>
      </c>
      <c r="D391" s="146">
        <f t="shared" si="37"/>
        <v>232.80778751881166</v>
      </c>
      <c r="E391" s="146">
        <f t="shared" si="33"/>
        <v>-2.4877875188116718</v>
      </c>
      <c r="F391" s="147">
        <f t="shared" si="34"/>
        <v>-1.0686015039813257E-2</v>
      </c>
      <c r="O391" s="140"/>
      <c r="P391" s="140"/>
      <c r="Q391" s="140"/>
      <c r="R391" s="140"/>
      <c r="S391" s="140"/>
    </row>
    <row r="392" spans="2:19">
      <c r="B392" s="148">
        <v>1190</v>
      </c>
      <c r="C392" s="11">
        <f t="shared" si="36"/>
        <v>231.56</v>
      </c>
      <c r="D392" s="146">
        <f t="shared" si="37"/>
        <v>234.01003955896618</v>
      </c>
      <c r="E392" s="146">
        <f t="shared" ref="E392:E441" si="38">C392-D392</f>
        <v>-2.4500395589661821</v>
      </c>
      <c r="F392" s="147">
        <f t="shared" ref="F392:F441" si="39">C392/D392-1</f>
        <v>-1.0469805327941173E-2</v>
      </c>
      <c r="O392" s="140"/>
      <c r="P392" s="140"/>
      <c r="Q392" s="140"/>
      <c r="R392" s="140"/>
      <c r="S392" s="140"/>
    </row>
    <row r="393" spans="2:19">
      <c r="B393" s="148">
        <v>1200</v>
      </c>
      <c r="C393" s="11">
        <f t="shared" si="36"/>
        <v>232.8</v>
      </c>
      <c r="D393" s="146">
        <f t="shared" si="37"/>
        <v>235.21183540543998</v>
      </c>
      <c r="E393" s="146">
        <f t="shared" si="38"/>
        <v>-2.4118354054399731</v>
      </c>
      <c r="F393" s="147">
        <f t="shared" si="39"/>
        <v>-1.0253886252290956E-2</v>
      </c>
      <c r="O393" s="140"/>
      <c r="P393" s="140"/>
      <c r="Q393" s="140"/>
      <c r="R393" s="140"/>
      <c r="S393" s="140"/>
    </row>
    <row r="394" spans="2:19">
      <c r="B394" s="148">
        <v>1210</v>
      </c>
      <c r="C394" s="11">
        <f t="shared" si="36"/>
        <v>234.04</v>
      </c>
      <c r="D394" s="146">
        <f t="shared" si="37"/>
        <v>236.41317555040791</v>
      </c>
      <c r="E394" s="146">
        <f t="shared" si="38"/>
        <v>-2.3731755504079217</v>
      </c>
      <c r="F394" s="147">
        <f t="shared" si="39"/>
        <v>-1.0038254191555906E-2</v>
      </c>
      <c r="O394" s="140"/>
      <c r="P394" s="140"/>
      <c r="Q394" s="140"/>
      <c r="R394" s="140"/>
      <c r="S394" s="140"/>
    </row>
    <row r="395" spans="2:19">
      <c r="B395" s="148">
        <v>1220</v>
      </c>
      <c r="C395" s="11">
        <f t="shared" si="36"/>
        <v>235.28</v>
      </c>
      <c r="D395" s="146">
        <f t="shared" si="37"/>
        <v>237.61406048580125</v>
      </c>
      <c r="E395" s="146">
        <f t="shared" si="38"/>
        <v>-2.3340604858012455</v>
      </c>
      <c r="F395" s="147">
        <f t="shared" si="39"/>
        <v>-9.8229056017529182E-3</v>
      </c>
      <c r="O395" s="140"/>
      <c r="P395" s="140"/>
      <c r="Q395" s="140"/>
      <c r="R395" s="140"/>
      <c r="S395" s="140"/>
    </row>
    <row r="396" spans="2:19">
      <c r="B396" s="148">
        <v>1230</v>
      </c>
      <c r="C396" s="11">
        <f t="shared" si="36"/>
        <v>236.52</v>
      </c>
      <c r="D396" s="146">
        <f t="shared" si="37"/>
        <v>238.81449070330797</v>
      </c>
      <c r="E396" s="146">
        <f t="shared" si="38"/>
        <v>-2.2944907033079573</v>
      </c>
      <c r="F396" s="147">
        <f t="shared" si="39"/>
        <v>-9.6078370142058667E-3</v>
      </c>
      <c r="O396" s="140"/>
      <c r="P396" s="140"/>
      <c r="Q396" s="140"/>
      <c r="R396" s="140"/>
      <c r="S396" s="140"/>
    </row>
    <row r="397" spans="2:19">
      <c r="B397" s="148">
        <v>1240</v>
      </c>
      <c r="C397" s="11">
        <f t="shared" si="36"/>
        <v>237.76</v>
      </c>
      <c r="D397" s="146">
        <f t="shared" si="37"/>
        <v>240.01446669437235</v>
      </c>
      <c r="E397" s="146">
        <f t="shared" si="38"/>
        <v>-2.2544666943723541</v>
      </c>
      <c r="F397" s="147">
        <f t="shared" si="39"/>
        <v>-9.3930450335859561E-3</v>
      </c>
      <c r="O397" s="140"/>
      <c r="P397" s="140"/>
      <c r="Q397" s="140"/>
      <c r="R397" s="140"/>
      <c r="S397" s="140"/>
    </row>
    <row r="398" spans="2:19">
      <c r="B398" s="145">
        <v>1250</v>
      </c>
      <c r="C398" s="10">
        <v>239</v>
      </c>
      <c r="D398" s="146">
        <f t="shared" si="37"/>
        <v>241.21398895019533</v>
      </c>
      <c r="E398" s="146">
        <f t="shared" si="38"/>
        <v>-2.2139889501953292</v>
      </c>
      <c r="F398" s="147">
        <f t="shared" si="39"/>
        <v>-9.1785263360180114E-3</v>
      </c>
    </row>
    <row r="399" spans="2:19">
      <c r="B399" s="145">
        <v>1500</v>
      </c>
      <c r="C399" s="10">
        <v>269</v>
      </c>
      <c r="D399" s="146">
        <f t="shared" si="37"/>
        <v>271.05601316937503</v>
      </c>
      <c r="E399" s="146">
        <f t="shared" si="38"/>
        <v>-2.056013169375035</v>
      </c>
      <c r="F399" s="147">
        <f t="shared" si="39"/>
        <v>-7.5851966733174736E-3</v>
      </c>
    </row>
    <row r="400" spans="2:19">
      <c r="B400" s="145">
        <v>1750</v>
      </c>
      <c r="C400" s="10">
        <v>297</v>
      </c>
      <c r="D400" s="146">
        <f t="shared" si="37"/>
        <v>300.62237354738284</v>
      </c>
      <c r="E400" s="146">
        <f t="shared" si="38"/>
        <v>-3.6223735473828356</v>
      </c>
      <c r="F400" s="147">
        <f t="shared" si="39"/>
        <v>-1.2049580690347006E-2</v>
      </c>
    </row>
    <row r="401" spans="2:9">
      <c r="B401" s="145">
        <v>2000</v>
      </c>
      <c r="C401" s="10">
        <v>325</v>
      </c>
      <c r="D401" s="146">
        <f t="shared" si="37"/>
        <v>329.92059671999999</v>
      </c>
      <c r="E401" s="146">
        <f t="shared" si="38"/>
        <v>-4.9205967199999918</v>
      </c>
      <c r="F401" s="147">
        <f t="shared" si="39"/>
        <v>-1.4914487815915423E-2</v>
      </c>
    </row>
    <row r="402" spans="2:9">
      <c r="B402" s="145">
        <v>2500</v>
      </c>
      <c r="C402" s="10">
        <v>380</v>
      </c>
      <c r="D402" s="146">
        <f t="shared" si="37"/>
        <v>387.74226242187501</v>
      </c>
      <c r="E402" s="146">
        <f t="shared" si="38"/>
        <v>-7.7422624218750116</v>
      </c>
      <c r="F402" s="147">
        <f t="shared" si="39"/>
        <v>-1.9967548477991759E-2</v>
      </c>
    </row>
    <row r="403" spans="2:9">
      <c r="B403" s="145">
        <v>3000</v>
      </c>
      <c r="C403" s="10">
        <v>433</v>
      </c>
      <c r="D403" s="146">
        <f t="shared" si="37"/>
        <v>444.57932107999989</v>
      </c>
      <c r="E403" s="146">
        <f t="shared" si="38"/>
        <v>-11.579321079999886</v>
      </c>
      <c r="F403" s="147">
        <f t="shared" si="39"/>
        <v>-2.6045568318091572E-2</v>
      </c>
    </row>
    <row r="404" spans="2:9">
      <c r="B404" s="145">
        <v>4000</v>
      </c>
      <c r="C404" s="10">
        <v>525</v>
      </c>
      <c r="D404" s="146">
        <f t="shared" si="37"/>
        <v>555.52525135999997</v>
      </c>
      <c r="E404" s="146">
        <f t="shared" si="38"/>
        <v>-30.52525135999997</v>
      </c>
      <c r="F404" s="147">
        <f t="shared" si="39"/>
        <v>-5.4948449751420103E-2</v>
      </c>
    </row>
    <row r="405" spans="2:9">
      <c r="B405" s="145">
        <v>5000</v>
      </c>
      <c r="C405" s="10">
        <v>593</v>
      </c>
      <c r="D405" s="146">
        <f t="shared" si="37"/>
        <v>663.19443749999994</v>
      </c>
      <c r="E405" s="146">
        <f t="shared" si="38"/>
        <v>-70.194437499999935</v>
      </c>
      <c r="F405" s="147">
        <f t="shared" si="39"/>
        <v>-0.1058429225742713</v>
      </c>
    </row>
    <row r="406" spans="2:9">
      <c r="B406" s="145">
        <v>5380</v>
      </c>
      <c r="C406" s="10">
        <v>700</v>
      </c>
      <c r="D406" s="146">
        <f t="shared" si="37"/>
        <v>703.33598967751834</v>
      </c>
      <c r="E406" s="146">
        <f t="shared" si="38"/>
        <v>-3.3359896775183415</v>
      </c>
      <c r="F406" s="147">
        <f t="shared" si="39"/>
        <v>-4.7430953718832214E-3</v>
      </c>
    </row>
    <row r="407" spans="2:9">
      <c r="B407" s="145">
        <v>6280</v>
      </c>
      <c r="C407" s="10">
        <v>800</v>
      </c>
      <c r="D407" s="146">
        <f t="shared" si="37"/>
        <v>796.88367552078012</v>
      </c>
      <c r="E407" s="146">
        <f t="shared" si="38"/>
        <v>3.1163244792198839</v>
      </c>
      <c r="F407" s="147">
        <f t="shared" si="39"/>
        <v>3.9106391245664618E-3</v>
      </c>
    </row>
    <row r="408" spans="2:9">
      <c r="B408" s="145">
        <v>7280</v>
      </c>
      <c r="C408" s="10">
        <v>900</v>
      </c>
      <c r="D408" s="146">
        <f t="shared" si="37"/>
        <v>898.58246990970156</v>
      </c>
      <c r="E408" s="146">
        <f t="shared" si="38"/>
        <v>1.4175300902984418</v>
      </c>
      <c r="F408" s="147">
        <f t="shared" si="39"/>
        <v>1.5775180773789366E-3</v>
      </c>
    </row>
    <row r="409" spans="2:9">
      <c r="B409" s="145">
        <v>8300</v>
      </c>
      <c r="C409" s="10">
        <v>1000</v>
      </c>
      <c r="D409" s="146">
        <f t="shared" si="37"/>
        <v>1000.2392221119752</v>
      </c>
      <c r="E409" s="146">
        <f t="shared" si="38"/>
        <v>-0.23922211197520937</v>
      </c>
      <c r="F409" s="147">
        <f t="shared" si="39"/>
        <v>-2.3916489844311162E-4</v>
      </c>
    </row>
    <row r="410" spans="2:9">
      <c r="B410" s="145">
        <v>9000</v>
      </c>
      <c r="C410" s="10">
        <v>1060</v>
      </c>
      <c r="D410" s="146">
        <f t="shared" si="37"/>
        <v>1060</v>
      </c>
      <c r="E410" s="146">
        <f t="shared" si="38"/>
        <v>0</v>
      </c>
      <c r="F410" s="147">
        <f t="shared" si="39"/>
        <v>0</v>
      </c>
      <c r="G410" s="140"/>
      <c r="H410" s="140"/>
      <c r="I410" s="141"/>
    </row>
    <row r="411" spans="2:9">
      <c r="B411" s="145">
        <v>10000</v>
      </c>
      <c r="C411" s="10">
        <v>1155</v>
      </c>
      <c r="D411" s="146">
        <f t="shared" si="37"/>
        <v>1155</v>
      </c>
      <c r="E411" s="146">
        <f t="shared" si="38"/>
        <v>0</v>
      </c>
      <c r="F411" s="147">
        <f t="shared" si="39"/>
        <v>0</v>
      </c>
      <c r="G411" s="140"/>
      <c r="H411" s="140"/>
      <c r="I411" s="141"/>
    </row>
    <row r="412" spans="2:9">
      <c r="B412" s="145">
        <v>11000</v>
      </c>
      <c r="C412" s="10">
        <v>1250</v>
      </c>
      <c r="D412" s="146">
        <f t="shared" si="37"/>
        <v>1250</v>
      </c>
      <c r="E412" s="146">
        <f t="shared" si="38"/>
        <v>0</v>
      </c>
      <c r="F412" s="147">
        <f t="shared" si="39"/>
        <v>0</v>
      </c>
      <c r="G412" s="140"/>
      <c r="H412" s="140"/>
      <c r="I412" s="141"/>
    </row>
    <row r="413" spans="2:9">
      <c r="B413" s="145">
        <v>12000</v>
      </c>
      <c r="C413" s="10">
        <v>1345</v>
      </c>
      <c r="D413" s="146">
        <f t="shared" si="37"/>
        <v>1345</v>
      </c>
      <c r="E413" s="146">
        <f t="shared" si="38"/>
        <v>0</v>
      </c>
      <c r="F413" s="147">
        <f t="shared" si="39"/>
        <v>0</v>
      </c>
      <c r="G413" s="140"/>
      <c r="H413" s="140"/>
      <c r="I413" s="141"/>
    </row>
    <row r="414" spans="2:9">
      <c r="B414" s="145">
        <v>13000</v>
      </c>
      <c r="C414" s="10">
        <v>1440</v>
      </c>
      <c r="D414" s="146">
        <f t="shared" si="37"/>
        <v>1440</v>
      </c>
      <c r="E414" s="146">
        <f t="shared" si="38"/>
        <v>0</v>
      </c>
      <c r="F414" s="147">
        <f t="shared" si="39"/>
        <v>0</v>
      </c>
      <c r="G414" s="140"/>
      <c r="H414" s="140"/>
      <c r="I414" s="141"/>
    </row>
    <row r="415" spans="2:9">
      <c r="B415" s="145">
        <v>14000</v>
      </c>
      <c r="C415" s="10">
        <v>1535</v>
      </c>
      <c r="D415" s="146">
        <f t="shared" si="37"/>
        <v>1535</v>
      </c>
      <c r="E415" s="146">
        <f t="shared" si="38"/>
        <v>0</v>
      </c>
      <c r="F415" s="147">
        <f t="shared" si="39"/>
        <v>0</v>
      </c>
      <c r="G415" s="140"/>
      <c r="H415" s="140"/>
      <c r="I415" s="141"/>
    </row>
    <row r="416" spans="2:9">
      <c r="B416" s="145">
        <v>15000</v>
      </c>
      <c r="C416" s="10">
        <v>1630</v>
      </c>
      <c r="D416" s="146">
        <f t="shared" si="37"/>
        <v>1630</v>
      </c>
      <c r="E416" s="146">
        <f t="shared" si="38"/>
        <v>0</v>
      </c>
      <c r="F416" s="147">
        <f t="shared" si="39"/>
        <v>0</v>
      </c>
      <c r="G416" s="140"/>
      <c r="H416" s="140"/>
      <c r="I416" s="141"/>
    </row>
    <row r="417" spans="2:9">
      <c r="B417" s="145">
        <v>16000</v>
      </c>
      <c r="C417" s="10">
        <v>1725</v>
      </c>
      <c r="D417" s="146">
        <f t="shared" si="37"/>
        <v>1725</v>
      </c>
      <c r="E417" s="146">
        <f t="shared" si="38"/>
        <v>0</v>
      </c>
      <c r="F417" s="147">
        <f t="shared" si="39"/>
        <v>0</v>
      </c>
      <c r="G417" s="140"/>
      <c r="H417" s="140"/>
      <c r="I417" s="141"/>
    </row>
    <row r="418" spans="2:9">
      <c r="B418" s="145">
        <v>17000</v>
      </c>
      <c r="C418" s="10">
        <v>1820</v>
      </c>
      <c r="D418" s="146">
        <f t="shared" si="37"/>
        <v>1820</v>
      </c>
      <c r="E418" s="146">
        <f t="shared" si="38"/>
        <v>0</v>
      </c>
      <c r="F418" s="147">
        <f t="shared" si="39"/>
        <v>0</v>
      </c>
      <c r="G418" s="140"/>
      <c r="H418" s="140"/>
      <c r="I418" s="141"/>
    </row>
    <row r="419" spans="2:9">
      <c r="B419" s="145">
        <v>18000</v>
      </c>
      <c r="C419" s="10">
        <v>1915</v>
      </c>
      <c r="D419" s="146">
        <f t="shared" si="37"/>
        <v>1915</v>
      </c>
      <c r="E419" s="146">
        <f t="shared" si="38"/>
        <v>0</v>
      </c>
      <c r="F419" s="147">
        <f t="shared" si="39"/>
        <v>0</v>
      </c>
      <c r="G419" s="140"/>
      <c r="H419" s="140"/>
      <c r="I419" s="141"/>
    </row>
    <row r="420" spans="2:9">
      <c r="B420" s="145">
        <v>19000</v>
      </c>
      <c r="C420" s="10">
        <v>2010</v>
      </c>
      <c r="D420" s="146">
        <f t="shared" si="37"/>
        <v>2010</v>
      </c>
      <c r="E420" s="146">
        <f t="shared" si="38"/>
        <v>0</v>
      </c>
      <c r="F420" s="147">
        <f t="shared" si="39"/>
        <v>0</v>
      </c>
      <c r="G420" s="140"/>
      <c r="H420" s="140"/>
      <c r="I420" s="141"/>
    </row>
    <row r="421" spans="2:9">
      <c r="B421" s="145">
        <v>20000</v>
      </c>
      <c r="C421" s="10">
        <v>2105</v>
      </c>
      <c r="D421" s="146">
        <f t="shared" si="37"/>
        <v>2105</v>
      </c>
      <c r="E421" s="146">
        <f t="shared" si="38"/>
        <v>0</v>
      </c>
      <c r="F421" s="147">
        <f t="shared" si="39"/>
        <v>0</v>
      </c>
      <c r="G421" s="140"/>
      <c r="H421" s="140"/>
      <c r="I421" s="141"/>
    </row>
    <row r="422" spans="2:9">
      <c r="B422" s="145">
        <v>21000</v>
      </c>
      <c r="C422" s="10">
        <v>2200</v>
      </c>
      <c r="D422" s="146">
        <f t="shared" si="37"/>
        <v>2200</v>
      </c>
      <c r="E422" s="146">
        <f t="shared" si="38"/>
        <v>0</v>
      </c>
      <c r="F422" s="147">
        <f t="shared" si="39"/>
        <v>0</v>
      </c>
      <c r="G422" s="140"/>
      <c r="H422" s="140"/>
      <c r="I422" s="141"/>
    </row>
    <row r="423" spans="2:9">
      <c r="B423" s="145">
        <v>22000</v>
      </c>
      <c r="C423" s="10">
        <v>2295</v>
      </c>
      <c r="D423" s="146">
        <f t="shared" si="37"/>
        <v>2295</v>
      </c>
      <c r="E423" s="146">
        <f t="shared" si="38"/>
        <v>0</v>
      </c>
      <c r="F423" s="147">
        <f t="shared" si="39"/>
        <v>0</v>
      </c>
      <c r="G423" s="140"/>
      <c r="H423" s="140"/>
      <c r="I423" s="141"/>
    </row>
    <row r="424" spans="2:9">
      <c r="B424" s="145">
        <v>23000</v>
      </c>
      <c r="C424" s="10">
        <v>2390</v>
      </c>
      <c r="D424" s="146">
        <f t="shared" si="37"/>
        <v>2390</v>
      </c>
      <c r="E424" s="146">
        <f t="shared" si="38"/>
        <v>0</v>
      </c>
      <c r="F424" s="147">
        <f t="shared" si="39"/>
        <v>0</v>
      </c>
      <c r="G424" s="140"/>
      <c r="H424" s="140"/>
      <c r="I424" s="141"/>
    </row>
    <row r="425" spans="2:9">
      <c r="B425" s="145">
        <v>24000</v>
      </c>
      <c r="C425" s="10">
        <v>2485</v>
      </c>
      <c r="D425" s="146">
        <f t="shared" si="37"/>
        <v>2485</v>
      </c>
      <c r="E425" s="146">
        <f t="shared" si="38"/>
        <v>0</v>
      </c>
      <c r="F425" s="147">
        <f t="shared" si="39"/>
        <v>0</v>
      </c>
      <c r="G425" s="140"/>
      <c r="H425" s="140"/>
      <c r="I425" s="141"/>
    </row>
    <row r="426" spans="2:9">
      <c r="B426" s="145">
        <v>25000</v>
      </c>
      <c r="C426" s="10">
        <v>2580</v>
      </c>
      <c r="D426" s="146">
        <f t="shared" si="37"/>
        <v>2580</v>
      </c>
      <c r="E426" s="146">
        <f t="shared" si="38"/>
        <v>0</v>
      </c>
      <c r="F426" s="147">
        <f t="shared" si="39"/>
        <v>0</v>
      </c>
      <c r="G426" s="140"/>
      <c r="H426" s="140"/>
      <c r="I426" s="141"/>
    </row>
    <row r="427" spans="2:9">
      <c r="B427" s="145">
        <v>26000</v>
      </c>
      <c r="C427" s="10">
        <v>2675</v>
      </c>
      <c r="D427" s="146">
        <f t="shared" si="37"/>
        <v>2675</v>
      </c>
      <c r="E427" s="146">
        <f t="shared" si="38"/>
        <v>0</v>
      </c>
      <c r="F427" s="147">
        <f t="shared" si="39"/>
        <v>0</v>
      </c>
      <c r="G427" s="140"/>
      <c r="H427" s="140"/>
      <c r="I427" s="141"/>
    </row>
    <row r="428" spans="2:9">
      <c r="B428" s="145">
        <v>27000</v>
      </c>
      <c r="C428" s="10">
        <v>2770</v>
      </c>
      <c r="D428" s="146">
        <f t="shared" si="37"/>
        <v>2770</v>
      </c>
      <c r="E428" s="146">
        <f t="shared" si="38"/>
        <v>0</v>
      </c>
      <c r="F428" s="147">
        <f t="shared" si="39"/>
        <v>0</v>
      </c>
      <c r="G428" s="140"/>
      <c r="H428" s="140"/>
      <c r="I428" s="141"/>
    </row>
    <row r="429" spans="2:9">
      <c r="B429" s="145">
        <v>28000</v>
      </c>
      <c r="C429" s="10">
        <v>2865</v>
      </c>
      <c r="D429" s="146">
        <f t="shared" si="37"/>
        <v>2865</v>
      </c>
      <c r="E429" s="146">
        <f t="shared" si="38"/>
        <v>0</v>
      </c>
      <c r="F429" s="147">
        <f t="shared" si="39"/>
        <v>0</v>
      </c>
      <c r="G429" s="140"/>
      <c r="H429" s="140"/>
      <c r="I429" s="141"/>
    </row>
    <row r="430" spans="2:9">
      <c r="B430" s="145">
        <v>29000</v>
      </c>
      <c r="C430" s="10">
        <v>2960</v>
      </c>
      <c r="D430" s="146">
        <f t="shared" si="37"/>
        <v>2960</v>
      </c>
      <c r="E430" s="146">
        <f t="shared" si="38"/>
        <v>0</v>
      </c>
      <c r="F430" s="147">
        <f t="shared" si="39"/>
        <v>0</v>
      </c>
      <c r="G430" s="140"/>
      <c r="H430" s="140"/>
      <c r="I430" s="141"/>
    </row>
    <row r="431" spans="2:9">
      <c r="B431" s="145">
        <v>30000</v>
      </c>
      <c r="C431" s="10">
        <v>3055</v>
      </c>
      <c r="D431" s="146">
        <f t="shared" si="37"/>
        <v>3055</v>
      </c>
      <c r="E431" s="146">
        <f t="shared" si="38"/>
        <v>0</v>
      </c>
      <c r="F431" s="147">
        <f t="shared" si="39"/>
        <v>0</v>
      </c>
      <c r="G431" s="140"/>
      <c r="H431" s="140"/>
      <c r="I431" s="141"/>
    </row>
    <row r="432" spans="2:9">
      <c r="B432" s="150">
        <v>31000</v>
      </c>
      <c r="C432" s="10">
        <v>3150</v>
      </c>
      <c r="D432" s="146">
        <f t="shared" si="37"/>
        <v>3150</v>
      </c>
      <c r="E432" s="146">
        <f t="shared" si="38"/>
        <v>0</v>
      </c>
      <c r="F432" s="147">
        <f t="shared" si="39"/>
        <v>0</v>
      </c>
      <c r="G432" s="140"/>
      <c r="H432" s="140"/>
      <c r="I432" s="141"/>
    </row>
    <row r="433" spans="2:9">
      <c r="B433" s="150">
        <v>32000</v>
      </c>
      <c r="C433" s="10">
        <v>3245</v>
      </c>
      <c r="D433" s="146">
        <f t="shared" si="37"/>
        <v>3245</v>
      </c>
      <c r="E433" s="146">
        <f t="shared" si="38"/>
        <v>0</v>
      </c>
      <c r="F433" s="147">
        <f t="shared" si="39"/>
        <v>0</v>
      </c>
      <c r="G433" s="140"/>
      <c r="H433" s="140"/>
      <c r="I433" s="141"/>
    </row>
    <row r="434" spans="2:9">
      <c r="B434" s="150">
        <v>33000</v>
      </c>
      <c r="C434" s="10">
        <v>3340</v>
      </c>
      <c r="D434" s="146">
        <f t="shared" si="37"/>
        <v>3340</v>
      </c>
      <c r="E434" s="146">
        <f t="shared" si="38"/>
        <v>0</v>
      </c>
      <c r="F434" s="147">
        <f t="shared" si="39"/>
        <v>0</v>
      </c>
      <c r="G434" s="140"/>
      <c r="H434" s="140"/>
      <c r="I434" s="141"/>
    </row>
    <row r="435" spans="2:9">
      <c r="B435" s="150">
        <v>34000</v>
      </c>
      <c r="C435" s="10">
        <v>3435</v>
      </c>
      <c r="D435" s="146">
        <f t="shared" si="37"/>
        <v>3435</v>
      </c>
      <c r="E435" s="146">
        <f t="shared" si="38"/>
        <v>0</v>
      </c>
      <c r="F435" s="147">
        <f t="shared" si="39"/>
        <v>0</v>
      </c>
      <c r="G435" s="140"/>
      <c r="H435" s="140"/>
      <c r="I435" s="141"/>
    </row>
    <row r="436" spans="2:9">
      <c r="B436" s="150">
        <v>35000</v>
      </c>
      <c r="C436" s="10">
        <v>3530</v>
      </c>
      <c r="D436" s="146">
        <f t="shared" si="37"/>
        <v>3530</v>
      </c>
      <c r="E436" s="146">
        <f t="shared" si="38"/>
        <v>0</v>
      </c>
      <c r="F436" s="147">
        <f t="shared" si="39"/>
        <v>0</v>
      </c>
      <c r="G436" s="140"/>
      <c r="H436" s="140"/>
      <c r="I436" s="141"/>
    </row>
    <row r="437" spans="2:9">
      <c r="B437" s="150">
        <v>36000</v>
      </c>
      <c r="C437" s="10">
        <v>3625</v>
      </c>
      <c r="D437" s="146">
        <f t="shared" si="37"/>
        <v>3625</v>
      </c>
      <c r="E437" s="146">
        <f t="shared" si="38"/>
        <v>0</v>
      </c>
      <c r="F437" s="147">
        <f t="shared" si="39"/>
        <v>0</v>
      </c>
      <c r="G437" s="140"/>
      <c r="H437" s="140"/>
      <c r="I437" s="141"/>
    </row>
    <row r="438" spans="2:9">
      <c r="B438" s="150">
        <v>37000</v>
      </c>
      <c r="C438" s="10">
        <v>3720</v>
      </c>
      <c r="D438" s="146">
        <f t="shared" si="37"/>
        <v>3720</v>
      </c>
      <c r="E438" s="146">
        <f t="shared" si="38"/>
        <v>0</v>
      </c>
      <c r="F438" s="147">
        <f t="shared" si="39"/>
        <v>0</v>
      </c>
      <c r="G438" s="140"/>
      <c r="H438" s="140"/>
      <c r="I438" s="141"/>
    </row>
    <row r="439" spans="2:9">
      <c r="B439" s="150">
        <v>38000</v>
      </c>
      <c r="C439" s="10">
        <v>3815</v>
      </c>
      <c r="D439" s="146">
        <f t="shared" si="37"/>
        <v>3815</v>
      </c>
      <c r="E439" s="146">
        <f t="shared" si="38"/>
        <v>0</v>
      </c>
      <c r="F439" s="147">
        <f t="shared" si="39"/>
        <v>0</v>
      </c>
      <c r="G439" s="140"/>
      <c r="H439" s="140"/>
      <c r="I439" s="141"/>
    </row>
    <row r="440" spans="2:9">
      <c r="B440" s="150">
        <v>39000</v>
      </c>
      <c r="C440" s="10">
        <v>3910</v>
      </c>
      <c r="D440" s="146">
        <f t="shared" si="37"/>
        <v>3910</v>
      </c>
      <c r="E440" s="146">
        <f t="shared" si="38"/>
        <v>0</v>
      </c>
      <c r="F440" s="147">
        <f t="shared" si="39"/>
        <v>0</v>
      </c>
      <c r="G440" s="140"/>
      <c r="H440" s="140"/>
      <c r="I440" s="141"/>
    </row>
    <row r="441" spans="2:9" ht="13.5" thickBot="1">
      <c r="B441" s="151">
        <v>40000</v>
      </c>
      <c r="C441" s="152">
        <v>4005</v>
      </c>
      <c r="D441" s="153">
        <f t="shared" si="37"/>
        <v>4005</v>
      </c>
      <c r="E441" s="153">
        <f t="shared" si="38"/>
        <v>0</v>
      </c>
      <c r="F441" s="154">
        <f t="shared" si="39"/>
        <v>0</v>
      </c>
      <c r="G441" s="140"/>
      <c r="H441" s="140"/>
      <c r="I441" s="141"/>
    </row>
    <row r="442" spans="2:9">
      <c r="D442" s="141"/>
    </row>
  </sheetData>
  <mergeCells count="1">
    <mergeCell ref="D2:F2"/>
  </mergeCells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0BF2B64F157D4887D58E229622CC92" ma:contentTypeVersion="11" ma:contentTypeDescription="Create a new document." ma:contentTypeScope="" ma:versionID="84951c827cedd46ba0b127dd3a4d4902">
  <xsd:schema xmlns:xsd="http://www.w3.org/2001/XMLSchema" xmlns:xs="http://www.w3.org/2001/XMLSchema" xmlns:p="http://schemas.microsoft.com/office/2006/metadata/properties" xmlns:ns2="c9579d1c-990a-4676-b3b6-555839cfdcde" targetNamespace="http://schemas.microsoft.com/office/2006/metadata/properties" ma:root="true" ma:fieldsID="dc0b945a69102c04ab0a05a5873f5cc1" ns2:_="">
    <xsd:import namespace="c9579d1c-990a-4676-b3b6-555839cfdc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579d1c-990a-4676-b3b6-555839cfdcd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d9fa0900-0624-44c0-a8e8-1ed0b981f9c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9579d1c-990a-4676-b3b6-555839cfdcd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BEC7498-A8D4-472F-B271-62BD0896B84B}"/>
</file>

<file path=customXml/itemProps2.xml><?xml version="1.0" encoding="utf-8"?>
<ds:datastoreItem xmlns:ds="http://schemas.openxmlformats.org/officeDocument/2006/customXml" ds:itemID="{E24AC1CE-1198-4CA5-95F1-7B01B8D5A7E5}"/>
</file>

<file path=customXml/itemProps3.xml><?xml version="1.0" encoding="utf-8"?>
<ds:datastoreItem xmlns:ds="http://schemas.openxmlformats.org/officeDocument/2006/customXml" ds:itemID="{336F4C49-8C0B-4546-8675-C0DFC2DD344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Version</vt:lpstr>
      <vt:lpstr>How-To Guide</vt:lpstr>
      <vt:lpstr>IPC </vt:lpstr>
      <vt:lpstr>HUNTERDATA (FT)</vt:lpstr>
      <vt:lpstr>HUNTERDATA (FV)</vt:lpstr>
      <vt:lpstr>'How-To Guide'!Print_Area</vt:lpstr>
      <vt:lpstr>'IPC '!Print_Area</vt:lpstr>
      <vt:lpstr>Print_Area_MI</vt:lpstr>
    </vt:vector>
  </TitlesOfParts>
  <Company>Henderson Engineers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 PLBG</dc:creator>
  <cp:lastModifiedBy>Sean Turner</cp:lastModifiedBy>
  <cp:lastPrinted>2020-06-17T13:56:24Z</cp:lastPrinted>
  <dcterms:created xsi:type="dcterms:W3CDTF">1999-07-28T22:55:13Z</dcterms:created>
  <dcterms:modified xsi:type="dcterms:W3CDTF">2026-04-08T02:13:50Z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-176775769</vt:i4>
  </property>
  <property fmtid="{D5CDD505-2E9C-101B-9397-08002B2CF9AE}" pid="3" name="_EmailSubject">
    <vt:lpwstr>Fixture Calc Spreadsheet Modifications</vt:lpwstr>
  </property>
  <property fmtid="{D5CDD505-2E9C-101B-9397-08002B2CF9AE}" pid="4" name="_AuthorEmail">
    <vt:lpwstr>Carl.Holden@hendersonengineers.com</vt:lpwstr>
  </property>
  <property fmtid="{D5CDD505-2E9C-101B-9397-08002B2CF9AE}" pid="5" name="_AuthorEmailDisplayName">
    <vt:lpwstr>Carl Holden</vt:lpwstr>
  </property>
  <property fmtid="{D5CDD505-2E9C-101B-9397-08002B2CF9AE}" pid="6" name="_ReviewingToolsShownOnce">
    <vt:lpwstr/>
  </property>
  <property fmtid="{D5CDD505-2E9C-101B-9397-08002B2CF9AE}" pid="7" name="ContentTypeId">
    <vt:lpwstr>0x010100510BF2B64F157D4887D58E229622CC92</vt:lpwstr>
  </property>
</Properties>
</file>